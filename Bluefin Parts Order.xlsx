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ropbox\51 North\Projects\Bluefin\Hardware\HALMET-hardware\"/>
    </mc:Choice>
  </mc:AlternateContent>
  <xr:revisionPtr revIDLastSave="0" documentId="8_{F57CDFDC-34C8-4711-AE80-E7D1A5647E30}" xr6:coauthVersionLast="47" xr6:coauthVersionMax="47" xr10:uidLastSave="{00000000-0000-0000-0000-000000000000}"/>
  <bookViews>
    <workbookView xWindow="-98" yWindow="-98" windowWidth="22276" windowHeight="13276" xr2:uid="{5B4C9F9D-53E1-4B5F-90E8-2A97FC36A71E}"/>
  </bookViews>
  <sheets>
    <sheet name="Bluefin" sheetId="1" r:id="rId1"/>
    <sheet name="Halmet" sheetId="2" r:id="rId2"/>
    <sheet name="Diff" sheetId="3" r:id="rId3"/>
  </sheets>
  <calcPr calcId="0"/>
</workbook>
</file>

<file path=xl/calcChain.xml><?xml version="1.0" encoding="utf-8"?>
<calcChain xmlns="http://schemas.openxmlformats.org/spreadsheetml/2006/main">
  <c r="A2" i="3" l="1" a="1"/>
  <c r="A2" i="3" s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<sst xmlns="http://schemas.openxmlformats.org/spreadsheetml/2006/main" count="965" uniqueCount="388">
  <si>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</si>
  <si>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</si>
  <si>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</si>
  <si>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</si>
  <si>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</si>
  <si>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</si>
  <si>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</si>
  <si>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</si>
  <si>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LCSC</t>
  </si>
  <si>
    <t>JLCPCB_CORRECTION</t>
  </si>
  <si>
    <t>U1203</t>
  </si>
  <si>
    <t>XC6206P332MR</t>
  </si>
  <si>
    <t>Package_TO_SOT_SMD:SOT-23-3</t>
  </si>
  <si>
    <t>C5446</t>
  </si>
  <si>
    <t>0;0;180</t>
  </si>
  <si>
    <t>U1202</t>
  </si>
  <si>
    <t>ISO1540</t>
  </si>
  <si>
    <t>Package_SO:SOIC-8_3.9x4.9mm_P1.27mm</t>
  </si>
  <si>
    <t>http://www.ti.com/lit/ds/symlink/iso1541.pdf</t>
  </si>
  <si>
    <t>C179739</t>
  </si>
  <si>
    <t>0;0;270</t>
  </si>
  <si>
    <t>U1201</t>
  </si>
  <si>
    <t>Ï€140U30</t>
  </si>
  <si>
    <t>Package_SO:SOIC-16_4.55x10.3mm_P1.27mm</t>
  </si>
  <si>
    <t>https://datasheet.lcsc.com/lcsc/2010300934_2Pai-Semi--140U30_C910134.pdf</t>
  </si>
  <si>
    <t>C910134</t>
  </si>
  <si>
    <t>U1200</t>
  </si>
  <si>
    <t>ICM-42688-P</t>
  </si>
  <si>
    <t>BLUEFIN:PQFN50P300X250X97-14N</t>
  </si>
  <si>
    <t>https://jlcpcb.com/api/file/downloadByFileSystemAccessId/8588902275431469056</t>
  </si>
  <si>
    <t>C1850418</t>
  </si>
  <si>
    <t>U1101,U1102,U1103,U1104</t>
  </si>
  <si>
    <t>74LVC1G17</t>
  </si>
  <si>
    <t>Package_TO_SOT_SMD:SOT-353_SC-70-5</t>
  </si>
  <si>
    <t>https://www.ti.com/lit/ds/symlink/sn74lvc1g17.pdf</t>
  </si>
  <si>
    <t>C212314</t>
  </si>
  <si>
    <t>U602</t>
  </si>
  <si>
    <t>ADS1115IDGS</t>
  </si>
  <si>
    <t>Package_SO:TSSOP-10_3x3mm_P0.5mm</t>
  </si>
  <si>
    <t>http://www.ti.com/lit/ds/symlink/ads1113.pdf</t>
  </si>
  <si>
    <t>C37593</t>
  </si>
  <si>
    <t>U601</t>
  </si>
  <si>
    <t>LMV324</t>
  </si>
  <si>
    <t>Package_SO:SOIC-14_3.9x8.7mm_P1.27mm</t>
  </si>
  <si>
    <t>http://www.ti.com/lit/ds/symlink/lmv324.pdf</t>
  </si>
  <si>
    <t>C362275</t>
  </si>
  <si>
    <t>U502</t>
  </si>
  <si>
    <t>SP3485EN</t>
  </si>
  <si>
    <t>http://www.icbase.com/pdf/SPX/SPX00480106.pdf</t>
  </si>
  <si>
    <t>C8963</t>
  </si>
  <si>
    <t>U501</t>
  </si>
  <si>
    <t>SN65HVD230DR</t>
  </si>
  <si>
    <t>http://www.ti.com/lit/ds/symlink/sn65hvd230.pdf</t>
  </si>
  <si>
    <t>C12084</t>
  </si>
  <si>
    <t>U402</t>
  </si>
  <si>
    <t>USBLC6-2SC6</t>
  </si>
  <si>
    <t>Package_TO_SOT_SMD:SOT-23-6</t>
  </si>
  <si>
    <t>https://www.st.com/resource/en/datasheet/usblc6-2.pdf</t>
  </si>
  <si>
    <t>C7519</t>
  </si>
  <si>
    <t>U401</t>
  </si>
  <si>
    <t>CH340C</t>
  </si>
  <si>
    <t>Package_SO:SOIC-16_3.9x9.9mm_P1.27mm</t>
  </si>
  <si>
    <t>https://datasheet.lcsc.com/szlcsc/Jiangsu-Qin-Heng-CH340C_C84681.pdf</t>
  </si>
  <si>
    <t>C84681</t>
  </si>
  <si>
    <t>U203</t>
  </si>
  <si>
    <t>LM317L_SOT-89</t>
  </si>
  <si>
    <t>Package_TO_SOT_SMD:SOT-89-3</t>
  </si>
  <si>
    <t>http://www.ti.com/lit/ds/symlink/lm317l.pdf</t>
  </si>
  <si>
    <t>C5444280</t>
  </si>
  <si>
    <t>U202</t>
  </si>
  <si>
    <t>XL1509-3.3</t>
  </si>
  <si>
    <t>Package_SO:SOP-8_3.9x4.9mm_P1.27mm</t>
  </si>
  <si>
    <t>C2681226</t>
  </si>
  <si>
    <t>U201</t>
  </si>
  <si>
    <t>ESP32-S3-WROOM-1U-N16R8</t>
  </si>
  <si>
    <t>RF_Module:ESP32-S3-WROOM-1U</t>
  </si>
  <si>
    <t>https://www.espressif.com/sites/default/files/documentation/esp32-s3-wroom-1_wroom-1u_datasheet_en.pdf</t>
  </si>
  <si>
    <t>C3013946</t>
  </si>
  <si>
    <t>0;0.75;270</t>
  </si>
  <si>
    <t>SW501,SW502</t>
  </si>
  <si>
    <t>SW_Push</t>
  </si>
  <si>
    <t>Button_Switch_SMD:SW_SPST_TL3342</t>
  </si>
  <si>
    <t>~</t>
  </si>
  <si>
    <t>C318887</t>
  </si>
  <si>
    <t>R1201</t>
  </si>
  <si>
    <t>330R</t>
  </si>
  <si>
    <t>Resistor_SMD:R_0402_1005Metric</t>
  </si>
  <si>
    <t>C25104</t>
  </si>
  <si>
    <t>R1106,R1107,R1108,R1109</t>
  </si>
  <si>
    <t>100k</t>
  </si>
  <si>
    <t>C25741</t>
  </si>
  <si>
    <t>R1001,R1002</t>
  </si>
  <si>
    <t>1.5k</t>
  </si>
  <si>
    <t>C25867</t>
  </si>
  <si>
    <t>R802</t>
  </si>
  <si>
    <t>100R</t>
  </si>
  <si>
    <t>Resistor_SMD:R_0805_2012Metric</t>
  </si>
  <si>
    <t>C17408</t>
  </si>
  <si>
    <t>R703</t>
  </si>
  <si>
    <t>4.7R</t>
  </si>
  <si>
    <t>Resistor_SMD:R_0603_1608Metric</t>
  </si>
  <si>
    <t>C23164</t>
  </si>
  <si>
    <t>R615,R617,R619,R621,R801</t>
  </si>
  <si>
    <t>2.2k</t>
  </si>
  <si>
    <t>C25879</t>
  </si>
  <si>
    <t>R613,R614,R616,R618,R1101,R1102,R1104,R1105</t>
  </si>
  <si>
    <t>20k</t>
  </si>
  <si>
    <t>C4184</t>
  </si>
  <si>
    <t>R607,R608,R609,R610</t>
  </si>
  <si>
    <t>C22985</t>
  </si>
  <si>
    <t>R601,R602</t>
  </si>
  <si>
    <t>240R</t>
  </si>
  <si>
    <t>C17572</t>
  </si>
  <si>
    <t>R504</t>
  </si>
  <si>
    <t>75R</t>
  </si>
  <si>
    <t>C25133</t>
  </si>
  <si>
    <t>R501,R502,R701,R702,R1202,R1203</t>
  </si>
  <si>
    <t>2k</t>
  </si>
  <si>
    <t>C4109</t>
  </si>
  <si>
    <t>R403,R404</t>
  </si>
  <si>
    <t>27R</t>
  </si>
  <si>
    <t>Resistor_SMD:R_0201_0603Metric</t>
  </si>
  <si>
    <t>C270320</t>
  </si>
  <si>
    <t>R206</t>
  </si>
  <si>
    <t>2.7k</t>
  </si>
  <si>
    <t>C25885</t>
  </si>
  <si>
    <t>R205,R603,R604,R605,R606,R611</t>
  </si>
  <si>
    <t>1k</t>
  </si>
  <si>
    <t>C11702</t>
  </si>
  <si>
    <t>R204,R505</t>
  </si>
  <si>
    <t>C25094</t>
  </si>
  <si>
    <t>R201,R213,R401,R402,R503,R612,R1103</t>
  </si>
  <si>
    <t>10k</t>
  </si>
  <si>
    <t>C25744</t>
  </si>
  <si>
    <t>Q601,Q602,Q603,Q604</t>
  </si>
  <si>
    <t>BC856BW,115</t>
  </si>
  <si>
    <t>Package_TO_SOT_SMD:SOT-323_SC-70</t>
  </si>
  <si>
    <t>C28063</t>
  </si>
  <si>
    <t>Q401,Q402</t>
  </si>
  <si>
    <t>S8050</t>
  </si>
  <si>
    <t>Package_TO_SOT_SMD:SOT-23</t>
  </si>
  <si>
    <t>http://www.unisonic.com.tw/datasheet/S8050.pdf</t>
  </si>
  <si>
    <t>C2146</t>
  </si>
  <si>
    <t>PS1201</t>
  </si>
  <si>
    <t>B0305S-1WR3</t>
  </si>
  <si>
    <t>Converter_DCDC:Converter_DCDC_Murata_MEE1SxxxxSC_THT</t>
  </si>
  <si>
    <t>C7465186</t>
  </si>
  <si>
    <t>0;3.81;270</t>
  </si>
  <si>
    <t>L1201,L1202</t>
  </si>
  <si>
    <t>CMH201209B4R7MT</t>
  </si>
  <si>
    <t>Inductor_SMD:L_0805_2012Metric</t>
  </si>
  <si>
    <t>C394959</t>
  </si>
  <si>
    <t>L701</t>
  </si>
  <si>
    <t>NLCV32T-100K-EFR</t>
  </si>
  <si>
    <t>Inductor_SMD:L_1210_3225Metric</t>
  </si>
  <si>
    <t>C295195</t>
  </si>
  <si>
    <t>L301</t>
  </si>
  <si>
    <t>SMMS0650-470M</t>
  </si>
  <si>
    <t>HALMET:SMMS0650-1R0M</t>
  </si>
  <si>
    <t>C149588</t>
  </si>
  <si>
    <t>JP603</t>
  </si>
  <si>
    <t>Bridged</t>
  </si>
  <si>
    <t>Jumper:SolderJumper-2_P1.3mm_Bridged2Bar_RoundedPad1.0x1.5mm</t>
  </si>
  <si>
    <t>JP602,JP604,JP605</t>
  </si>
  <si>
    <t>Open</t>
  </si>
  <si>
    <t>Jumper:SolderJumper-2_P1.3mm_Open_Pad1.0x1.5mm</t>
  </si>
  <si>
    <t>JP601,JP1101,JP1102,JP1103,JP1104,JP1105,JP1106,JP1107,JP1108,JP1109,JP1110,JP1111,JP1112</t>
  </si>
  <si>
    <t>SolderJumper_2_Open</t>
  </si>
  <si>
    <t>HALMET:SolderJumper-2_P1.3mm_Open_TrianglePad_Narrow</t>
  </si>
  <si>
    <t>JP1</t>
  </si>
  <si>
    <t>Jumper_2_Small_Open</t>
  </si>
  <si>
    <t>Connector_PinHeader_2.00mm:PinHeader_1x02_P2.00mm_Vertical</t>
  </si>
  <si>
    <t>J802</t>
  </si>
  <si>
    <t>Conn_01x04</t>
  </si>
  <si>
    <t>Connector_Phoenix_MC:PhoenixContact_MCV_1,5_4-G-3.81_1x04_P3.81mm_Vertical</t>
  </si>
  <si>
    <t xml:space="preserve"> C8410</t>
  </si>
  <si>
    <t>5.715;0;180</t>
  </si>
  <si>
    <t>J801</t>
  </si>
  <si>
    <t>Conn_01x03</t>
  </si>
  <si>
    <t>Connector_PinHeader_2.54mm:PinHeader_1x03_P2.54mm_Vertical</t>
  </si>
  <si>
    <t>C49257</t>
  </si>
  <si>
    <t>0;2.54;90</t>
  </si>
  <si>
    <t>J702</t>
  </si>
  <si>
    <t>Connector_PinSocket_2.54mm:PinSocket_1x04_P2.54mm_Vertical</t>
  </si>
  <si>
    <t>C124413</t>
  </si>
  <si>
    <t>0;3.81;90</t>
  </si>
  <si>
    <t>J604,J605,J606,J607,J1103,J1104,J1105,J1106</t>
  </si>
  <si>
    <t>Conn_01x02</t>
  </si>
  <si>
    <t>Connector_Phoenix_MC:PhoenixContact_MCV_1,5_2-G-3.81_1x02_P3.81mm_Vertical</t>
  </si>
  <si>
    <t>C8396</t>
  </si>
  <si>
    <t>1.905;0;180</t>
  </si>
  <si>
    <t>J602</t>
  </si>
  <si>
    <t>Conn_02x04_Odd_Even</t>
  </si>
  <si>
    <t>Connector_PinHeader_2.54mm:PinHeader_2x04_P2.54mm_Vertical</t>
  </si>
  <si>
    <t>C124386</t>
  </si>
  <si>
    <t>1.27;3.81;90</t>
  </si>
  <si>
    <t>J501</t>
  </si>
  <si>
    <t>EXT LEDS</t>
  </si>
  <si>
    <t>Connector_PinHeader_2.00mm:PinHeader_1x03_P2.00mm_Vertical</t>
  </si>
  <si>
    <t>J402</t>
  </si>
  <si>
    <t>Connector_JST:JST_SH_BM04B-SRSS-TB_1x04-1MP_P1.00mm_Vertical</t>
  </si>
  <si>
    <t>C160390</t>
  </si>
  <si>
    <t>J401</t>
  </si>
  <si>
    <t>USB_B_Micro</t>
  </si>
  <si>
    <t>Connector_USB:USB_Micro-B_Wuerth_614105150721_Vertical</t>
  </si>
  <si>
    <t>C145795</t>
  </si>
  <si>
    <t>1.3;0.5;0</t>
  </si>
  <si>
    <t>J302,J1201</t>
  </si>
  <si>
    <t>Connector_PinHeader_2.54mm:PinHeader_1x02_P2.54mm_Vertical</t>
  </si>
  <si>
    <t>J203</t>
  </si>
  <si>
    <t>Conn_01x01</t>
  </si>
  <si>
    <t>Excluded from BOM</t>
  </si>
  <si>
    <t>TestPoint:TestPoint_Pad_D2.0mm</t>
  </si>
  <si>
    <t>J201</t>
  </si>
  <si>
    <t>GPIO</t>
  </si>
  <si>
    <t>Connector_PinHeader_2.54mm:PinHeader_2x10_P2.54mm_Vertical</t>
  </si>
  <si>
    <t>C492427</t>
  </si>
  <si>
    <t>1.27;24.13;90</t>
  </si>
  <si>
    <t>H1001,H1002</t>
  </si>
  <si>
    <t>MountingHole</t>
  </si>
  <si>
    <t>HALMET:MountingSlot_3.2mm_M3_Unplated</t>
  </si>
  <si>
    <t>G604</t>
  </si>
  <si>
    <t>OSHW-logo</t>
  </si>
  <si>
    <t>Excluded from board</t>
  </si>
  <si>
    <t>Symbol:OSHW-Logo2_9.8x8mm_SilkScreen</t>
  </si>
  <si>
    <t>G603</t>
  </si>
  <si>
    <t>WEEE-logo</t>
  </si>
  <si>
    <t>Symbol:WEEE-Logo_5.6x8mm_SilkScreen</t>
  </si>
  <si>
    <t>G602</t>
  </si>
  <si>
    <t>CE-logo</t>
  </si>
  <si>
    <t>Symbol:CE-Logo_11.2x8mm_SilkScreen</t>
  </si>
  <si>
    <t>G601</t>
  </si>
  <si>
    <t>CC-BY</t>
  </si>
  <si>
    <t>HALMET:cc-by_5mm</t>
  </si>
  <si>
    <t>FB601,FB602,FB603,FB604,FB702,FB703</t>
  </si>
  <si>
    <t>GZ2012D101TF</t>
  </si>
  <si>
    <t>C1015</t>
  </si>
  <si>
    <t>FB401,FB701,FB704,FB801</t>
  </si>
  <si>
    <t>GZ2012D601TF</t>
  </si>
  <si>
    <t>C1017</t>
  </si>
  <si>
    <t>F501,F502</t>
  </si>
  <si>
    <t>1206L010/60WR</t>
  </si>
  <si>
    <t>1206L010_60WR:1206L075132WR</t>
  </si>
  <si>
    <t>C2153714</t>
  </si>
  <si>
    <t>F401</t>
  </si>
  <si>
    <t>BSMD1206-100-6V</t>
  </si>
  <si>
    <t>Fuse:Fuse_1206_3216Metric</t>
  </si>
  <si>
    <t>https://datasheet.lcsc.com/lcsc/2305121423_BHFUSE-BSMD1206-100-6V_C883129.pdf</t>
  </si>
  <si>
    <t>C883129</t>
  </si>
  <si>
    <t>F301</t>
  </si>
  <si>
    <t>mSMD050-60V</t>
  </si>
  <si>
    <t>Fuse:Fuse_1812_4532Metric</t>
  </si>
  <si>
    <t>C70113</t>
  </si>
  <si>
    <t>D1101,D1102</t>
  </si>
  <si>
    <t>BAT54A</t>
  </si>
  <si>
    <t>C78261</t>
  </si>
  <si>
    <t>D1001,D1002</t>
  </si>
  <si>
    <t>GREEN LED</t>
  </si>
  <si>
    <t>LED_SMD:LED_0603_1608Metric</t>
  </si>
  <si>
    <t>C965804</t>
  </si>
  <si>
    <t>D801</t>
  </si>
  <si>
    <t>SM24CANB</t>
  </si>
  <si>
    <t>C41376477</t>
  </si>
  <si>
    <t>D603,D604,D605,D611,D1103,D1104,D1105,D1113</t>
  </si>
  <si>
    <t>BAT54S</t>
  </si>
  <si>
    <t>https://www.diodes.com/assets/Datasheets/ds11005.pdf</t>
  </si>
  <si>
    <t>C12741</t>
  </si>
  <si>
    <t>D502</t>
  </si>
  <si>
    <t>RED LED</t>
  </si>
  <si>
    <t>C2286</t>
  </si>
  <si>
    <t>D501</t>
  </si>
  <si>
    <t>BLUE LED</t>
  </si>
  <si>
    <t>C84266</t>
  </si>
  <si>
    <t>D401,D402,D403,D503,D504,D903,D904,D905</t>
  </si>
  <si>
    <t>ESD5451N</t>
  </si>
  <si>
    <t>Diode_SMD:D_0402_1005Metric</t>
  </si>
  <si>
    <t>C2936977</t>
  </si>
  <si>
    <t>D301</t>
  </si>
  <si>
    <t>SMBJ33CA</t>
  </si>
  <si>
    <t>Diode_SMD:D_SMB</t>
  </si>
  <si>
    <t>C114000</t>
  </si>
  <si>
    <t>D201,D303,D701</t>
  </si>
  <si>
    <t>B5819W</t>
  </si>
  <si>
    <t>Diode_SMD:D_SOD-123</t>
  </si>
  <si>
    <t>C8598</t>
  </si>
  <si>
    <t>CR501</t>
  </si>
  <si>
    <t>PSM712-LF-T7</t>
  </si>
  <si>
    <t>PSM712-LF-T7:CR_SOT-23_PTD</t>
  </si>
  <si>
    <t>C32677</t>
  </si>
  <si>
    <t>C1209</t>
  </si>
  <si>
    <t>220pF/2kV</t>
  </si>
  <si>
    <t>HALMET:C_1808_4520Metric</t>
  </si>
  <si>
    <t>C2940747</t>
  </si>
  <si>
    <t>C1203</t>
  </si>
  <si>
    <t>10uF/10V</t>
  </si>
  <si>
    <t>Capacitor_SMD:C_0603_1608Metric</t>
  </si>
  <si>
    <t>C19702</t>
  </si>
  <si>
    <t>C1201,C1202,C1208,C1210</t>
  </si>
  <si>
    <t>4.7uF</t>
  </si>
  <si>
    <t>Capacitor_SMD:C_0402_1005Metric</t>
  </si>
  <si>
    <t>C23733</t>
  </si>
  <si>
    <t>C1104,C1105,C1106,C1107</t>
  </si>
  <si>
    <t>220pF</t>
  </si>
  <si>
    <t>C1530</t>
  </si>
  <si>
    <t>C1101,C1102,C1103,C1112</t>
  </si>
  <si>
    <t>3.3nF</t>
  </si>
  <si>
    <t>C26404</t>
  </si>
  <si>
    <t>C802</t>
  </si>
  <si>
    <t>1nF/50V</t>
  </si>
  <si>
    <t>C1588</t>
  </si>
  <si>
    <t>C719</t>
  </si>
  <si>
    <t>10nF/50V</t>
  </si>
  <si>
    <t>Capacitor_SMD:C_1206_3216Metric</t>
  </si>
  <si>
    <t>C153292</t>
  </si>
  <si>
    <t>C718</t>
  </si>
  <si>
    <t>2.2uF/50V</t>
  </si>
  <si>
    <t>C50254</t>
  </si>
  <si>
    <t>C717,C720</t>
  </si>
  <si>
    <t>0.1uF/50V</t>
  </si>
  <si>
    <t>C24497</t>
  </si>
  <si>
    <t>C716</t>
  </si>
  <si>
    <t>4.7uF/50V</t>
  </si>
  <si>
    <t>C29823</t>
  </si>
  <si>
    <t>C713</t>
  </si>
  <si>
    <t>4.7nF/50V</t>
  </si>
  <si>
    <t>C1538</t>
  </si>
  <si>
    <t>C704,C707,C708,C709,C710,C711,C712,C714,C721,C803</t>
  </si>
  <si>
    <t>10uF/50V</t>
  </si>
  <si>
    <t>C13585</t>
  </si>
  <si>
    <t>C701,C801</t>
  </si>
  <si>
    <t>10uF</t>
  </si>
  <si>
    <t>C15525</t>
  </si>
  <si>
    <t>C620,C621,C622,C623</t>
  </si>
  <si>
    <t>10nF</t>
  </si>
  <si>
    <t>C15195</t>
  </si>
  <si>
    <t>C611</t>
  </si>
  <si>
    <t>68nF</t>
  </si>
  <si>
    <t>C31658</t>
  </si>
  <si>
    <t>C603,C605,C613,C615,C702,C703</t>
  </si>
  <si>
    <t>33pF</t>
  </si>
  <si>
    <t>C1562</t>
  </si>
  <si>
    <t>C602,C606,C607,C608,C609,C610,C616,C624,C901,C1113,C1114,C1115,C1116,C1204,C1205,C1206,C1207</t>
  </si>
  <si>
    <t>100nF</t>
  </si>
  <si>
    <t>C1525</t>
  </si>
  <si>
    <t>C601,C604,C612,C614,C705,C706</t>
  </si>
  <si>
    <t>33pF/50V</t>
  </si>
  <si>
    <t>C1663</t>
  </si>
  <si>
    <t>C503,C715</t>
  </si>
  <si>
    <t>1uF/50V</t>
  </si>
  <si>
    <t>Capacitor_SMD:C_0805_2012Metric</t>
  </si>
  <si>
    <t>C28323</t>
  </si>
  <si>
    <t>C501,C502</t>
  </si>
  <si>
    <t>100nF/50V</t>
  </si>
  <si>
    <t>C14663</t>
  </si>
  <si>
    <t>C403,C404</t>
  </si>
  <si>
    <t>10pF/50V</t>
  </si>
  <si>
    <t>C32949</t>
  </si>
  <si>
    <t>C402</t>
  </si>
  <si>
    <t>4.7uF/16V</t>
  </si>
  <si>
    <t>C19666</t>
  </si>
  <si>
    <t>C304</t>
  </si>
  <si>
    <t>47uF/6.3V</t>
  </si>
  <si>
    <t>C96123</t>
  </si>
  <si>
    <t>C203</t>
  </si>
  <si>
    <t>1uF</t>
  </si>
  <si>
    <t>C52923</t>
  </si>
  <si>
    <t>C202</t>
  </si>
  <si>
    <t>22uF</t>
  </si>
  <si>
    <t>C59461</t>
  </si>
  <si>
    <t>C602,C606,C607,C608,C609,C610,C624,C901,C1113,C1114,C1115,C1116,C1204,C1205,C1206,C1207</t>
  </si>
  <si>
    <t>C704,C707,C708,C709,C710,C711,C712,C714,C803</t>
  </si>
  <si>
    <t>G605</t>
  </si>
  <si>
    <t>HL-Logo</t>
  </si>
  <si>
    <t>HALMET:Hat_Labs_25.4mm</t>
  </si>
  <si>
    <t>G701</t>
  </si>
  <si>
    <t>HL-Pictogram</t>
  </si>
  <si>
    <t>HALMET:HaL_picto_8mm</t>
  </si>
  <si>
    <t>R603,R604,R605,R606,R611</t>
  </si>
  <si>
    <t>ESP32-WROOM-32E-N16</t>
  </si>
  <si>
    <t>RF_Module:ESP32-WROOM-32</t>
  </si>
  <si>
    <t>https://www.espressif.com/sites/default/files/documentation/esp32-wroom-32_datasheet_en.pdf</t>
  </si>
  <si>
    <t>C701343</t>
  </si>
  <si>
    <t>New</t>
  </si>
  <si>
    <t>C541856</t>
  </si>
  <si>
    <t>C541857</t>
  </si>
  <si>
    <t>Is JLCPCB correction relevant ?</t>
  </si>
  <si>
    <t>Is package too small 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</si>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</sst>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05DD-ED21-4BCE-9050-46693F2BD1E5}">
  <dimension ref="A1:M98"/>
  <sheetViews>
    <sheetView tabSelected="1" workbookViewId="0">
      <selection activeCell="M2" sqref="M2"/>
    </sheetView>
  </sheetViews>
  <sheetFormatPr defaultRowHeight="14.25" x14ac:dyDescent="0.45"/>
  <cols>
    <col min="5" max="6" width="10.33203125" customWidth="1"/>
    <col min="7" max="7" width="39.796875" customWidth="1"/>
    <col min="8" max="8" width="19.265625" customWidth="1"/>
    <col min="9" max="9" width="10.79687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382</v>
      </c>
    </row>
    <row r="2" spans="1:13" x14ac:dyDescent="0.45">
      <c r="A2" t="s">
        <v>304</v>
      </c>
      <c r="B2">
        <v>4</v>
      </c>
      <c r="C2" t="s">
        <v>305</v>
      </c>
      <c r="G2" t="s">
        <v>299</v>
      </c>
      <c r="H2" t="s">
        <v>82</v>
      </c>
      <c r="I2" t="s">
        <v>306</v>
      </c>
      <c r="M2" t="b">
        <f>_xlfn.LET(_xlpm.key,A2,_xlpm.newHash,G2,_xlpm.oldHash,_xlfn.XLOOKUP(_xlpm.key,Halmet!A:A,Halmet!G:G,""),OR(_xlpm.oldHash="",_xlpm.oldHash&lt;&gt;_xlpm.newHash))</f>
        <v>0</v>
      </c>
    </row>
    <row r="3" spans="1:13" x14ac:dyDescent="0.45">
      <c r="A3" t="s">
        <v>301</v>
      </c>
      <c r="B3">
        <v>4</v>
      </c>
      <c r="C3" t="s">
        <v>302</v>
      </c>
      <c r="G3" t="s">
        <v>86</v>
      </c>
      <c r="H3" t="s">
        <v>82</v>
      </c>
      <c r="I3" t="s">
        <v>303</v>
      </c>
      <c r="M3" t="b">
        <f>_xlfn.LET(_xlpm.key,A3,_xlpm.newHash,G3,_xlpm.oldHash,_xlfn.XLOOKUP(_xlpm.key,Halmet!A:A,Halmet!G:G,""),OR(_xlpm.oldHash="",_xlpm.oldHash&lt;&gt;_xlpm.newHash))</f>
        <v>0</v>
      </c>
    </row>
    <row r="4" spans="1:13" x14ac:dyDescent="0.45">
      <c r="A4" t="s">
        <v>297</v>
      </c>
      <c r="B4">
        <v>4</v>
      </c>
      <c r="C4" t="s">
        <v>298</v>
      </c>
      <c r="G4" t="s">
        <v>299</v>
      </c>
      <c r="H4" t="s">
        <v>82</v>
      </c>
      <c r="I4" t="s">
        <v>300</v>
      </c>
      <c r="M4" t="b">
        <f>_xlfn.LET(_xlpm.key,A4,_xlpm.newHash,G4,_xlpm.oldHash,_xlfn.XLOOKUP(_xlpm.key,Halmet!A:A,Halmet!G:G,""),OR(_xlpm.oldHash="",_xlpm.oldHash&lt;&gt;_xlpm.newHash))</f>
        <v>0</v>
      </c>
    </row>
    <row r="5" spans="1:13" x14ac:dyDescent="0.45">
      <c r="A5" t="s">
        <v>293</v>
      </c>
      <c r="B5">
        <v>1</v>
      </c>
      <c r="C5" t="s">
        <v>294</v>
      </c>
      <c r="G5" t="s">
        <v>295</v>
      </c>
      <c r="H5" t="s">
        <v>82</v>
      </c>
      <c r="I5" t="s">
        <v>296</v>
      </c>
      <c r="M5" t="b">
        <f>_xlfn.LET(_xlpm.key,A5,_xlpm.newHash,G5,_xlpm.oldHash,_xlfn.XLOOKUP(_xlpm.key,Halmet!A:A,Halmet!G:G,""),OR(_xlpm.oldHash="",_xlpm.oldHash&lt;&gt;_xlpm.newHash))</f>
        <v>0</v>
      </c>
    </row>
    <row r="6" spans="1:13" x14ac:dyDescent="0.45">
      <c r="A6" t="s">
        <v>289</v>
      </c>
      <c r="B6">
        <v>1</v>
      </c>
      <c r="C6" t="s">
        <v>290</v>
      </c>
      <c r="G6" t="s">
        <v>291</v>
      </c>
      <c r="H6" t="s">
        <v>82</v>
      </c>
      <c r="I6" t="s">
        <v>292</v>
      </c>
      <c r="M6" t="b">
        <f>_xlfn.LET(_xlpm.key,A6,_xlpm.newHash,G6,_xlpm.oldHash,_xlfn.XLOOKUP(_xlpm.key,Halmet!A:A,Halmet!G:G,""),OR(_xlpm.oldHash="",_xlpm.oldHash&lt;&gt;_xlpm.newHash))</f>
        <v>0</v>
      </c>
    </row>
    <row r="7" spans="1:13" x14ac:dyDescent="0.45">
      <c r="A7" t="s">
        <v>366</v>
      </c>
      <c r="B7">
        <v>1</v>
      </c>
      <c r="C7" t="s">
        <v>367</v>
      </c>
      <c r="G7" t="s">
        <v>295</v>
      </c>
      <c r="H7" t="s">
        <v>82</v>
      </c>
      <c r="I7" t="s">
        <v>368</v>
      </c>
      <c r="M7" t="b">
        <f>_xlfn.LET(_xlpm.key,A7,_xlpm.newHash,G7,_xlpm.oldHash,_xlfn.XLOOKUP(_xlpm.key,Halmet!A:A,Halmet!G:G,""),OR(_xlpm.oldHash="",_xlpm.oldHash&lt;&gt;_xlpm.newHash))</f>
        <v>0</v>
      </c>
    </row>
    <row r="8" spans="1:13" x14ac:dyDescent="0.45">
      <c r="A8" t="s">
        <v>363</v>
      </c>
      <c r="B8">
        <v>1</v>
      </c>
      <c r="C8" t="s">
        <v>364</v>
      </c>
      <c r="G8" t="s">
        <v>299</v>
      </c>
      <c r="H8" t="s">
        <v>82</v>
      </c>
      <c r="I8" t="s">
        <v>365</v>
      </c>
      <c r="M8" t="b">
        <f>_xlfn.LET(_xlpm.key,A8,_xlpm.newHash,G8,_xlpm.oldHash,_xlfn.XLOOKUP(_xlpm.key,Halmet!A:A,Halmet!G:G,""),OR(_xlpm.oldHash="",_xlpm.oldHash&lt;&gt;_xlpm.newHash))</f>
        <v>0</v>
      </c>
    </row>
    <row r="9" spans="1:13" x14ac:dyDescent="0.45">
      <c r="A9" t="s">
        <v>360</v>
      </c>
      <c r="B9">
        <v>1</v>
      </c>
      <c r="C9" t="s">
        <v>361</v>
      </c>
      <c r="G9" t="s">
        <v>312</v>
      </c>
      <c r="H9" t="s">
        <v>82</v>
      </c>
      <c r="I9" t="s">
        <v>362</v>
      </c>
      <c r="M9" t="b">
        <f>_xlfn.LET(_xlpm.key,A9,_xlpm.newHash,G9,_xlpm.oldHash,_xlfn.XLOOKUP(_xlpm.key,Halmet!A:A,Halmet!G:G,""),OR(_xlpm.oldHash="",_xlpm.oldHash&lt;&gt;_xlpm.newHash))</f>
        <v>0</v>
      </c>
    </row>
    <row r="10" spans="1:13" x14ac:dyDescent="0.45">
      <c r="A10" t="s">
        <v>357</v>
      </c>
      <c r="B10">
        <v>1</v>
      </c>
      <c r="C10" t="s">
        <v>358</v>
      </c>
      <c r="G10" t="s">
        <v>295</v>
      </c>
      <c r="H10" t="s">
        <v>82</v>
      </c>
      <c r="I10" t="s">
        <v>359</v>
      </c>
      <c r="M10" t="b">
        <f>_xlfn.LET(_xlpm.key,A10,_xlpm.newHash,G10,_xlpm.oldHash,_xlfn.XLOOKUP(_xlpm.key,Halmet!A:A,Halmet!G:G,""),OR(_xlpm.oldHash="",_xlpm.oldHash&lt;&gt;_xlpm.newHash))</f>
        <v>0</v>
      </c>
    </row>
    <row r="11" spans="1:13" x14ac:dyDescent="0.45">
      <c r="A11" t="s">
        <v>354</v>
      </c>
      <c r="B11">
        <v>2</v>
      </c>
      <c r="C11" t="s">
        <v>355</v>
      </c>
      <c r="E11" t="s">
        <v>211</v>
      </c>
      <c r="G11" t="s">
        <v>299</v>
      </c>
      <c r="H11" t="s">
        <v>82</v>
      </c>
      <c r="I11" t="s">
        <v>356</v>
      </c>
      <c r="M11" t="b">
        <f>_xlfn.LET(_xlpm.key,A11,_xlpm.newHash,G11,_xlpm.oldHash,_xlfn.XLOOKUP(_xlpm.key,Halmet!A:A,Halmet!G:G,""),OR(_xlpm.oldHash="",_xlpm.oldHash&lt;&gt;_xlpm.newHash))</f>
        <v>0</v>
      </c>
    </row>
    <row r="12" spans="1:13" x14ac:dyDescent="0.45">
      <c r="A12" t="s">
        <v>351</v>
      </c>
      <c r="B12">
        <v>2</v>
      </c>
      <c r="C12" t="s">
        <v>352</v>
      </c>
      <c r="G12" t="s">
        <v>295</v>
      </c>
      <c r="H12" t="s">
        <v>82</v>
      </c>
      <c r="I12" t="s">
        <v>353</v>
      </c>
      <c r="M12" t="b">
        <f>_xlfn.LET(_xlpm.key,A12,_xlpm.newHash,G12,_xlpm.oldHash,_xlfn.XLOOKUP(_xlpm.key,Halmet!A:A,Halmet!G:G,""),OR(_xlpm.oldHash="",_xlpm.oldHash&lt;&gt;_xlpm.newHash))</f>
        <v>0</v>
      </c>
    </row>
    <row r="13" spans="1:13" x14ac:dyDescent="0.45">
      <c r="A13" t="s">
        <v>347</v>
      </c>
      <c r="B13">
        <v>2</v>
      </c>
      <c r="C13" t="s">
        <v>348</v>
      </c>
      <c r="G13" t="s">
        <v>349</v>
      </c>
      <c r="H13" t="s">
        <v>82</v>
      </c>
      <c r="I13" t="s">
        <v>350</v>
      </c>
      <c r="M13" t="b">
        <f>_xlfn.LET(_xlpm.key,A13,_xlpm.newHash,G13,_xlpm.oldHash,_xlfn.XLOOKUP(_xlpm.key,Halmet!A:A,Halmet!G:G,""),OR(_xlpm.oldHash="",_xlpm.oldHash&lt;&gt;_xlpm.newHash))</f>
        <v>0</v>
      </c>
    </row>
    <row r="14" spans="1:13" x14ac:dyDescent="0.45">
      <c r="A14" t="s">
        <v>344</v>
      </c>
      <c r="B14">
        <v>6</v>
      </c>
      <c r="C14" t="s">
        <v>345</v>
      </c>
      <c r="G14" t="s">
        <v>295</v>
      </c>
      <c r="H14" t="s">
        <v>82</v>
      </c>
      <c r="I14" t="s">
        <v>346</v>
      </c>
      <c r="M14" t="b">
        <f>_xlfn.LET(_xlpm.key,A14,_xlpm.newHash,G14,_xlpm.oldHash,_xlfn.XLOOKUP(_xlpm.key,Halmet!A:A,Halmet!G:G,""),OR(_xlpm.oldHash="",_xlpm.oldHash&lt;&gt;_xlpm.newHash))</f>
        <v>0</v>
      </c>
    </row>
    <row r="15" spans="1:13" x14ac:dyDescent="0.45">
      <c r="A15" t="s">
        <v>341</v>
      </c>
      <c r="B15">
        <v>17</v>
      </c>
      <c r="C15" t="s">
        <v>342</v>
      </c>
      <c r="G15" t="s">
        <v>299</v>
      </c>
      <c r="H15" t="s">
        <v>82</v>
      </c>
      <c r="I15" t="s">
        <v>343</v>
      </c>
      <c r="M15" t="b">
        <f>_xlfn.LET(_xlpm.key,A15,_xlpm.newHash,G15,_xlpm.oldHash,_xlfn.XLOOKUP(_xlpm.key,Halmet!A:A,Halmet!G:G,""),OR(_xlpm.oldHash="",_xlpm.oldHash&lt;&gt;_xlpm.newHash))</f>
        <v>1</v>
      </c>
    </row>
    <row r="16" spans="1:13" x14ac:dyDescent="0.45">
      <c r="A16" t="s">
        <v>338</v>
      </c>
      <c r="B16">
        <v>6</v>
      </c>
      <c r="C16" t="s">
        <v>339</v>
      </c>
      <c r="G16" t="s">
        <v>299</v>
      </c>
      <c r="H16" t="s">
        <v>82</v>
      </c>
      <c r="I16" t="s">
        <v>340</v>
      </c>
      <c r="M16" t="b">
        <f>_xlfn.LET(_xlpm.key,A16,_xlpm.newHash,G16,_xlpm.oldHash,_xlfn.XLOOKUP(_xlpm.key,Halmet!A:A,Halmet!G:G,""),OR(_xlpm.oldHash="",_xlpm.oldHash&lt;&gt;_xlpm.newHash))</f>
        <v>0</v>
      </c>
    </row>
    <row r="17" spans="1:13" x14ac:dyDescent="0.45">
      <c r="A17" t="s">
        <v>335</v>
      </c>
      <c r="B17">
        <v>1</v>
      </c>
      <c r="C17" t="s">
        <v>336</v>
      </c>
      <c r="G17" t="s">
        <v>295</v>
      </c>
      <c r="H17" t="s">
        <v>82</v>
      </c>
      <c r="I17" t="s">
        <v>337</v>
      </c>
      <c r="M17" t="b">
        <f>_xlfn.LET(_xlpm.key,A17,_xlpm.newHash,G17,_xlpm.oldHash,_xlfn.XLOOKUP(_xlpm.key,Halmet!A:A,Halmet!G:G,""),OR(_xlpm.oldHash="",_xlpm.oldHash&lt;&gt;_xlpm.newHash))</f>
        <v>0</v>
      </c>
    </row>
    <row r="18" spans="1:13" x14ac:dyDescent="0.45">
      <c r="A18" t="s">
        <v>332</v>
      </c>
      <c r="B18">
        <v>4</v>
      </c>
      <c r="C18" t="s">
        <v>333</v>
      </c>
      <c r="G18" t="s">
        <v>299</v>
      </c>
      <c r="H18" t="s">
        <v>82</v>
      </c>
      <c r="I18" t="s">
        <v>334</v>
      </c>
      <c r="M18" t="b">
        <f>_xlfn.LET(_xlpm.key,A18,_xlpm.newHash,G18,_xlpm.oldHash,_xlfn.XLOOKUP(_xlpm.key,Halmet!A:A,Halmet!G:G,""),OR(_xlpm.oldHash="",_xlpm.oldHash&lt;&gt;_xlpm.newHash))</f>
        <v>0</v>
      </c>
    </row>
    <row r="19" spans="1:13" x14ac:dyDescent="0.45">
      <c r="A19" t="s">
        <v>329</v>
      </c>
      <c r="B19">
        <v>2</v>
      </c>
      <c r="C19" t="s">
        <v>330</v>
      </c>
      <c r="G19" t="s">
        <v>299</v>
      </c>
      <c r="H19" t="s">
        <v>82</v>
      </c>
      <c r="I19" t="s">
        <v>331</v>
      </c>
      <c r="M19" t="b">
        <f>_xlfn.LET(_xlpm.key,A19,_xlpm.newHash,G19,_xlpm.oldHash,_xlfn.XLOOKUP(_xlpm.key,Halmet!A:A,Halmet!G:G,""),OR(_xlpm.oldHash="",_xlpm.oldHash&lt;&gt;_xlpm.newHash))</f>
        <v>0</v>
      </c>
    </row>
    <row r="20" spans="1:13" x14ac:dyDescent="0.45">
      <c r="A20" t="s">
        <v>326</v>
      </c>
      <c r="B20">
        <v>10</v>
      </c>
      <c r="C20" t="s">
        <v>327</v>
      </c>
      <c r="G20" t="s">
        <v>312</v>
      </c>
      <c r="H20" t="s">
        <v>82</v>
      </c>
      <c r="I20" t="s">
        <v>328</v>
      </c>
      <c r="M20" t="b">
        <f>_xlfn.LET(_xlpm.key,A20,_xlpm.newHash,G20,_xlpm.oldHash,_xlfn.XLOOKUP(_xlpm.key,Halmet!A:A,Halmet!G:G,""),OR(_xlpm.oldHash="",_xlpm.oldHash&lt;&gt;_xlpm.newHash))</f>
        <v>1</v>
      </c>
    </row>
    <row r="21" spans="1:13" x14ac:dyDescent="0.45">
      <c r="A21" t="s">
        <v>323</v>
      </c>
      <c r="B21">
        <v>1</v>
      </c>
      <c r="C21" t="s">
        <v>324</v>
      </c>
      <c r="G21" t="s">
        <v>299</v>
      </c>
      <c r="H21" t="s">
        <v>82</v>
      </c>
      <c r="I21" t="s">
        <v>325</v>
      </c>
      <c r="M21" t="b">
        <f>_xlfn.LET(_xlpm.key,A21,_xlpm.newHash,G21,_xlpm.oldHash,_xlfn.XLOOKUP(_xlpm.key,Halmet!A:A,Halmet!G:G,""),OR(_xlpm.oldHash="",_xlpm.oldHash&lt;&gt;_xlpm.newHash))</f>
        <v>0</v>
      </c>
    </row>
    <row r="22" spans="1:13" x14ac:dyDescent="0.45">
      <c r="A22" t="s">
        <v>320</v>
      </c>
      <c r="B22">
        <v>1</v>
      </c>
      <c r="C22" t="s">
        <v>321</v>
      </c>
      <c r="G22" t="s">
        <v>312</v>
      </c>
      <c r="H22" t="s">
        <v>82</v>
      </c>
      <c r="I22" t="s">
        <v>322</v>
      </c>
      <c r="M22" t="b">
        <f>_xlfn.LET(_xlpm.key,A22,_xlpm.newHash,G22,_xlpm.oldHash,_xlfn.XLOOKUP(_xlpm.key,Halmet!A:A,Halmet!G:G,""),OR(_xlpm.oldHash="",_xlpm.oldHash&lt;&gt;_xlpm.newHash))</f>
        <v>0</v>
      </c>
    </row>
    <row r="23" spans="1:13" x14ac:dyDescent="0.45">
      <c r="A23" t="s">
        <v>317</v>
      </c>
      <c r="B23">
        <v>2</v>
      </c>
      <c r="C23" t="s">
        <v>318</v>
      </c>
      <c r="G23" t="s">
        <v>312</v>
      </c>
      <c r="H23" t="s">
        <v>82</v>
      </c>
      <c r="I23" t="s">
        <v>319</v>
      </c>
      <c r="M23" t="b">
        <f>_xlfn.LET(_xlpm.key,A23,_xlpm.newHash,G23,_xlpm.oldHash,_xlfn.XLOOKUP(_xlpm.key,Halmet!A:A,Halmet!G:G,""),OR(_xlpm.oldHash="",_xlpm.oldHash&lt;&gt;_xlpm.newHash))</f>
        <v>1</v>
      </c>
    </row>
    <row r="24" spans="1:13" x14ac:dyDescent="0.45">
      <c r="A24" t="s">
        <v>314</v>
      </c>
      <c r="B24">
        <v>1</v>
      </c>
      <c r="C24" t="s">
        <v>315</v>
      </c>
      <c r="G24" t="s">
        <v>312</v>
      </c>
      <c r="H24" t="s">
        <v>82</v>
      </c>
      <c r="I24" t="s">
        <v>316</v>
      </c>
      <c r="M24" t="b">
        <f>_xlfn.LET(_xlpm.key,A24,_xlpm.newHash,G24,_xlpm.oldHash,_xlfn.XLOOKUP(_xlpm.key,Halmet!A:A,Halmet!G:G,""),OR(_xlpm.oldHash="",_xlpm.oldHash&lt;&gt;_xlpm.newHash))</f>
        <v>1</v>
      </c>
    </row>
    <row r="25" spans="1:13" x14ac:dyDescent="0.45">
      <c r="A25" t="s">
        <v>310</v>
      </c>
      <c r="B25">
        <v>1</v>
      </c>
      <c r="C25" t="s">
        <v>311</v>
      </c>
      <c r="G25" t="s">
        <v>312</v>
      </c>
      <c r="H25" t="s">
        <v>82</v>
      </c>
      <c r="I25" t="s">
        <v>313</v>
      </c>
      <c r="M25" t="b">
        <f>_xlfn.LET(_xlpm.key,A25,_xlpm.newHash,G25,_xlpm.oldHash,_xlfn.XLOOKUP(_xlpm.key,Halmet!A:A,Halmet!G:G,""),OR(_xlpm.oldHash="",_xlpm.oldHash&lt;&gt;_xlpm.newHash))</f>
        <v>1</v>
      </c>
    </row>
    <row r="26" spans="1:13" x14ac:dyDescent="0.45">
      <c r="A26" t="s">
        <v>307</v>
      </c>
      <c r="B26">
        <v>1</v>
      </c>
      <c r="C26" t="s">
        <v>308</v>
      </c>
      <c r="G26" t="s">
        <v>295</v>
      </c>
      <c r="H26" t="s">
        <v>82</v>
      </c>
      <c r="I26" t="s">
        <v>309</v>
      </c>
      <c r="M26" t="b">
        <f>_xlfn.LET(_xlpm.key,A26,_xlpm.newHash,G26,_xlpm.oldHash,_xlfn.XLOOKUP(_xlpm.key,Halmet!A:A,Halmet!G:G,""),OR(_xlpm.oldHash="",_xlpm.oldHash&lt;&gt;_xlpm.newHash))</f>
        <v>0</v>
      </c>
    </row>
    <row r="27" spans="1:13" x14ac:dyDescent="0.45">
      <c r="A27" t="s">
        <v>285</v>
      </c>
      <c r="B27">
        <v>1</v>
      </c>
      <c r="C27" t="s">
        <v>286</v>
      </c>
      <c r="G27" t="s">
        <v>287</v>
      </c>
      <c r="H27" t="s">
        <v>286</v>
      </c>
      <c r="I27" t="s">
        <v>288</v>
      </c>
      <c r="M27" t="b">
        <f>_xlfn.LET(_xlpm.key,A27,_xlpm.newHash,G27,_xlpm.oldHash,_xlfn.XLOOKUP(_xlpm.key,Halmet!A:A,Halmet!G:G,""),OR(_xlpm.oldHash="",_xlpm.oldHash&lt;&gt;_xlpm.newHash))</f>
        <v>1</v>
      </c>
    </row>
    <row r="28" spans="1:13" x14ac:dyDescent="0.45">
      <c r="A28" t="s">
        <v>256</v>
      </c>
      <c r="B28">
        <v>2</v>
      </c>
      <c r="C28" t="s">
        <v>257</v>
      </c>
      <c r="G28" t="s">
        <v>258</v>
      </c>
      <c r="H28" t="s">
        <v>82</v>
      </c>
      <c r="I28" t="s">
        <v>259</v>
      </c>
      <c r="M28" t="b">
        <f>_xlfn.LET(_xlpm.key,A28,_xlpm.newHash,G28,_xlpm.oldHash,_xlfn.XLOOKUP(_xlpm.key,Halmet!A:A,Halmet!G:G,""),OR(_xlpm.oldHash="",_xlpm.oldHash&lt;&gt;_xlpm.newHash))</f>
        <v>0</v>
      </c>
    </row>
    <row r="29" spans="1:13" x14ac:dyDescent="0.45">
      <c r="A29" t="s">
        <v>253</v>
      </c>
      <c r="B29">
        <v>2</v>
      </c>
      <c r="C29" t="s">
        <v>254</v>
      </c>
      <c r="G29" t="s">
        <v>136</v>
      </c>
      <c r="I29" t="s">
        <v>255</v>
      </c>
      <c r="J29" t="s">
        <v>14</v>
      </c>
      <c r="M29" t="b">
        <f>_xlfn.LET(_xlpm.key,A29,_xlpm.newHash,G29,_xlpm.oldHash,_xlfn.XLOOKUP(_xlpm.key,Halmet!A:A,Halmet!G:G,""),OR(_xlpm.oldHash="",_xlpm.oldHash&lt;&gt;_xlpm.newHash))</f>
        <v>0</v>
      </c>
    </row>
    <row r="30" spans="1:13" x14ac:dyDescent="0.45">
      <c r="A30" t="s">
        <v>281</v>
      </c>
      <c r="B30">
        <v>3</v>
      </c>
      <c r="C30" t="s">
        <v>282</v>
      </c>
      <c r="G30" t="s">
        <v>283</v>
      </c>
      <c r="H30" t="s">
        <v>82</v>
      </c>
      <c r="I30" t="s">
        <v>284</v>
      </c>
      <c r="M30" t="b">
        <f>_xlfn.LET(_xlpm.key,A30,_xlpm.newHash,G30,_xlpm.oldHash,_xlfn.XLOOKUP(_xlpm.key,Halmet!A:A,Halmet!G:G,""),OR(_xlpm.oldHash="",_xlpm.oldHash&lt;&gt;_xlpm.newHash))</f>
        <v>0</v>
      </c>
    </row>
    <row r="31" spans="1:13" x14ac:dyDescent="0.45">
      <c r="A31" t="s">
        <v>277</v>
      </c>
      <c r="B31">
        <v>1</v>
      </c>
      <c r="C31" t="s">
        <v>278</v>
      </c>
      <c r="G31" t="s">
        <v>279</v>
      </c>
      <c r="H31" t="s">
        <v>82</v>
      </c>
      <c r="I31" t="s">
        <v>280</v>
      </c>
      <c r="M31" t="b">
        <f>_xlfn.LET(_xlpm.key,A31,_xlpm.newHash,G31,_xlpm.oldHash,_xlfn.XLOOKUP(_xlpm.key,Halmet!A:A,Halmet!G:G,""),OR(_xlpm.oldHash="",_xlpm.oldHash&lt;&gt;_xlpm.newHash))</f>
        <v>0</v>
      </c>
    </row>
    <row r="32" spans="1:13" x14ac:dyDescent="0.45">
      <c r="A32" t="s">
        <v>273</v>
      </c>
      <c r="B32">
        <v>8</v>
      </c>
      <c r="C32" t="s">
        <v>274</v>
      </c>
      <c r="G32" t="s">
        <v>275</v>
      </c>
      <c r="H32" t="s">
        <v>82</v>
      </c>
      <c r="I32" t="s">
        <v>276</v>
      </c>
      <c r="M32" t="b">
        <f>_xlfn.LET(_xlpm.key,A32,_xlpm.newHash,G32,_xlpm.oldHash,_xlfn.XLOOKUP(_xlpm.key,Halmet!A:A,Halmet!G:G,""),OR(_xlpm.oldHash="",_xlpm.oldHash&lt;&gt;_xlpm.newHash))</f>
        <v>0</v>
      </c>
    </row>
    <row r="33" spans="1:13" x14ac:dyDescent="0.45">
      <c r="A33" t="s">
        <v>270</v>
      </c>
      <c r="B33">
        <v>1</v>
      </c>
      <c r="C33" t="s">
        <v>271</v>
      </c>
      <c r="G33" t="s">
        <v>258</v>
      </c>
      <c r="H33" t="s">
        <v>82</v>
      </c>
      <c r="I33" t="s">
        <v>272</v>
      </c>
      <c r="M33" t="b">
        <f>_xlfn.LET(_xlpm.key,A33,_xlpm.newHash,G33,_xlpm.oldHash,_xlfn.XLOOKUP(_xlpm.key,Halmet!A:A,Halmet!G:G,""),OR(_xlpm.oldHash="",_xlpm.oldHash&lt;&gt;_xlpm.newHash))</f>
        <v>0</v>
      </c>
    </row>
    <row r="34" spans="1:13" x14ac:dyDescent="0.45">
      <c r="A34" t="s">
        <v>267</v>
      </c>
      <c r="B34">
        <v>1</v>
      </c>
      <c r="C34" t="s">
        <v>268</v>
      </c>
      <c r="G34" t="s">
        <v>258</v>
      </c>
      <c r="H34" t="s">
        <v>82</v>
      </c>
      <c r="I34" t="s">
        <v>269</v>
      </c>
      <c r="M34" t="b">
        <f>_xlfn.LET(_xlpm.key,A34,_xlpm.newHash,G34,_xlpm.oldHash,_xlfn.XLOOKUP(_xlpm.key,Halmet!A:A,Halmet!G:G,""),OR(_xlpm.oldHash="",_xlpm.oldHash&lt;&gt;_xlpm.newHash))</f>
        <v>0</v>
      </c>
    </row>
    <row r="35" spans="1:13" x14ac:dyDescent="0.45">
      <c r="A35" t="s">
        <v>263</v>
      </c>
      <c r="B35">
        <v>8</v>
      </c>
      <c r="C35" t="s">
        <v>264</v>
      </c>
      <c r="G35" t="s">
        <v>136</v>
      </c>
      <c r="H35" t="s">
        <v>265</v>
      </c>
      <c r="I35" t="s">
        <v>266</v>
      </c>
      <c r="J35" t="s">
        <v>14</v>
      </c>
      <c r="M35" t="b">
        <f>_xlfn.LET(_xlpm.key,A35,_xlpm.newHash,G35,_xlpm.oldHash,_xlfn.XLOOKUP(_xlpm.key,Halmet!A:A,Halmet!G:G,""),OR(_xlpm.oldHash="",_xlpm.oldHash&lt;&gt;_xlpm.newHash))</f>
        <v>0</v>
      </c>
    </row>
    <row r="36" spans="1:13" x14ac:dyDescent="0.45">
      <c r="A36" t="s">
        <v>260</v>
      </c>
      <c r="B36">
        <v>1</v>
      </c>
      <c r="C36" t="s">
        <v>261</v>
      </c>
      <c r="G36" t="s">
        <v>140</v>
      </c>
      <c r="H36" t="s">
        <v>82</v>
      </c>
      <c r="I36" t="s">
        <v>262</v>
      </c>
      <c r="J36" t="s">
        <v>14</v>
      </c>
      <c r="M36" t="b">
        <f>_xlfn.LET(_xlpm.key,A36,_xlpm.newHash,G36,_xlpm.oldHash,_xlfn.XLOOKUP(_xlpm.key,Halmet!A:A,Halmet!G:G,""),OR(_xlpm.oldHash="",_xlpm.oldHash&lt;&gt;_xlpm.newHash))</f>
        <v>0</v>
      </c>
    </row>
    <row r="37" spans="1:13" x14ac:dyDescent="0.45">
      <c r="A37" t="s">
        <v>249</v>
      </c>
      <c r="B37">
        <v>1</v>
      </c>
      <c r="C37" t="s">
        <v>250</v>
      </c>
      <c r="G37" t="s">
        <v>251</v>
      </c>
      <c r="H37" t="s">
        <v>82</v>
      </c>
      <c r="I37" t="s">
        <v>252</v>
      </c>
      <c r="M37" t="b">
        <f>_xlfn.LET(_xlpm.key,A37,_xlpm.newHash,G37,_xlpm.oldHash,_xlfn.XLOOKUP(_xlpm.key,Halmet!A:A,Halmet!G:G,""),OR(_xlpm.oldHash="",_xlpm.oldHash&lt;&gt;_xlpm.newHash))</f>
        <v>0</v>
      </c>
    </row>
    <row r="38" spans="1:13" x14ac:dyDescent="0.45">
      <c r="A38" t="s">
        <v>244</v>
      </c>
      <c r="B38">
        <v>1</v>
      </c>
      <c r="C38" t="s">
        <v>245</v>
      </c>
      <c r="G38" t="s">
        <v>246</v>
      </c>
      <c r="H38" t="s">
        <v>247</v>
      </c>
      <c r="I38" t="s">
        <v>248</v>
      </c>
      <c r="M38" t="b">
        <f>_xlfn.LET(_xlpm.key,A38,_xlpm.newHash,G38,_xlpm.oldHash,_xlfn.XLOOKUP(_xlpm.key,Halmet!A:A,Halmet!G:G,""),OR(_xlpm.oldHash="",_xlpm.oldHash&lt;&gt;_xlpm.newHash))</f>
        <v>0</v>
      </c>
    </row>
    <row r="39" spans="1:13" x14ac:dyDescent="0.45">
      <c r="A39" t="s">
        <v>240</v>
      </c>
      <c r="B39">
        <v>2</v>
      </c>
      <c r="C39" t="s">
        <v>241</v>
      </c>
      <c r="G39" t="s">
        <v>242</v>
      </c>
      <c r="H39" t="s">
        <v>82</v>
      </c>
      <c r="I39" t="s">
        <v>243</v>
      </c>
      <c r="M39" t="b">
        <f>_xlfn.LET(_xlpm.key,A39,_xlpm.newHash,G39,_xlpm.oldHash,_xlfn.XLOOKUP(_xlpm.key,Halmet!A:A,Halmet!G:G,""),OR(_xlpm.oldHash="",_xlpm.oldHash&lt;&gt;_xlpm.newHash))</f>
        <v>1</v>
      </c>
    </row>
    <row r="40" spans="1:13" x14ac:dyDescent="0.45">
      <c r="A40" t="s">
        <v>237</v>
      </c>
      <c r="B40">
        <v>4</v>
      </c>
      <c r="C40" t="s">
        <v>238</v>
      </c>
      <c r="G40" t="s">
        <v>150</v>
      </c>
      <c r="H40" t="s">
        <v>82</v>
      </c>
      <c r="I40" t="s">
        <v>239</v>
      </c>
      <c r="M40" t="b">
        <f>_xlfn.LET(_xlpm.key,A40,_xlpm.newHash,G40,_xlpm.oldHash,_xlfn.XLOOKUP(_xlpm.key,Halmet!A:A,Halmet!G:G,""),OR(_xlpm.oldHash="",_xlpm.oldHash&lt;&gt;_xlpm.newHash))</f>
        <v>0</v>
      </c>
    </row>
    <row r="41" spans="1:13" x14ac:dyDescent="0.45">
      <c r="A41" t="s">
        <v>234</v>
      </c>
      <c r="B41">
        <v>6</v>
      </c>
      <c r="C41" t="s">
        <v>235</v>
      </c>
      <c r="G41" t="s">
        <v>150</v>
      </c>
      <c r="H41" t="s">
        <v>82</v>
      </c>
      <c r="I41" t="s">
        <v>236</v>
      </c>
      <c r="M41" t="b">
        <f>_xlfn.LET(_xlpm.key,A41,_xlpm.newHash,G41,_xlpm.oldHash,_xlfn.XLOOKUP(_xlpm.key,Halmet!A:A,Halmet!G:G,""),OR(_xlpm.oldHash="",_xlpm.oldHash&lt;&gt;_xlpm.newHash))</f>
        <v>0</v>
      </c>
    </row>
    <row r="42" spans="1:13" x14ac:dyDescent="0.45">
      <c r="A42" t="s">
        <v>231</v>
      </c>
      <c r="B42">
        <v>1</v>
      </c>
      <c r="C42" t="s">
        <v>232</v>
      </c>
      <c r="E42" t="s">
        <v>211</v>
      </c>
      <c r="G42" t="s">
        <v>233</v>
      </c>
      <c r="H42" t="s">
        <v>82</v>
      </c>
      <c r="M42" t="b">
        <f>_xlfn.LET(_xlpm.key,A42,_xlpm.newHash,G42,_xlpm.oldHash,_xlfn.XLOOKUP(_xlpm.key,Halmet!A:A,Halmet!G:G,""),OR(_xlpm.oldHash="",_xlpm.oldHash&lt;&gt;_xlpm.newHash))</f>
        <v>0</v>
      </c>
    </row>
    <row r="43" spans="1:13" x14ac:dyDescent="0.45">
      <c r="A43" t="s">
        <v>228</v>
      </c>
      <c r="B43">
        <v>1</v>
      </c>
      <c r="C43" t="s">
        <v>229</v>
      </c>
      <c r="E43" t="s">
        <v>211</v>
      </c>
      <c r="G43" t="s">
        <v>230</v>
      </c>
      <c r="H43" t="s">
        <v>82</v>
      </c>
      <c r="M43" t="b">
        <f>_xlfn.LET(_xlpm.key,A43,_xlpm.newHash,G43,_xlpm.oldHash,_xlfn.XLOOKUP(_xlpm.key,Halmet!A:A,Halmet!G:G,""),OR(_xlpm.oldHash="",_xlpm.oldHash&lt;&gt;_xlpm.newHash))</f>
        <v>0</v>
      </c>
    </row>
    <row r="44" spans="1:13" x14ac:dyDescent="0.45">
      <c r="A44" t="s">
        <v>225</v>
      </c>
      <c r="B44">
        <v>1</v>
      </c>
      <c r="C44" t="s">
        <v>226</v>
      </c>
      <c r="E44" t="s">
        <v>211</v>
      </c>
      <c r="F44" t="s">
        <v>223</v>
      </c>
      <c r="G44" t="s">
        <v>227</v>
      </c>
      <c r="H44" t="s">
        <v>82</v>
      </c>
      <c r="M44" t="b">
        <f>_xlfn.LET(_xlpm.key,A44,_xlpm.newHash,G44,_xlpm.oldHash,_xlfn.XLOOKUP(_xlpm.key,Halmet!A:A,Halmet!G:G,""),OR(_xlpm.oldHash="",_xlpm.oldHash&lt;&gt;_xlpm.newHash))</f>
        <v>0</v>
      </c>
    </row>
    <row r="45" spans="1:13" x14ac:dyDescent="0.45">
      <c r="A45" t="s">
        <v>221</v>
      </c>
      <c r="B45">
        <v>1</v>
      </c>
      <c r="C45" t="s">
        <v>222</v>
      </c>
      <c r="E45" t="s">
        <v>211</v>
      </c>
      <c r="F45" t="s">
        <v>223</v>
      </c>
      <c r="G45" t="s">
        <v>224</v>
      </c>
      <c r="H45" t="s">
        <v>82</v>
      </c>
      <c r="M45" t="b">
        <f>_xlfn.LET(_xlpm.key,A45,_xlpm.newHash,G45,_xlpm.oldHash,_xlfn.XLOOKUP(_xlpm.key,Halmet!A:A,Halmet!G:G,""),OR(_xlpm.oldHash="",_xlpm.oldHash&lt;&gt;_xlpm.newHash))</f>
        <v>0</v>
      </c>
    </row>
    <row r="46" spans="1:13" x14ac:dyDescent="0.45">
      <c r="A46" t="s">
        <v>218</v>
      </c>
      <c r="B46">
        <v>2</v>
      </c>
      <c r="C46" t="s">
        <v>219</v>
      </c>
      <c r="G46" t="s">
        <v>220</v>
      </c>
      <c r="H46" t="s">
        <v>82</v>
      </c>
      <c r="M46" t="b">
        <f>_xlfn.LET(_xlpm.key,A46,_xlpm.newHash,G46,_xlpm.oldHash,_xlfn.XLOOKUP(_xlpm.key,Halmet!A:A,Halmet!G:G,""),OR(_xlpm.oldHash="",_xlpm.oldHash&lt;&gt;_xlpm.newHash))</f>
        <v>0</v>
      </c>
    </row>
    <row r="47" spans="1:13" x14ac:dyDescent="0.45">
      <c r="A47" t="s">
        <v>213</v>
      </c>
      <c r="B47">
        <v>1</v>
      </c>
      <c r="C47" t="s">
        <v>214</v>
      </c>
      <c r="G47" t="s">
        <v>215</v>
      </c>
      <c r="H47" t="s">
        <v>82</v>
      </c>
      <c r="I47" t="s">
        <v>216</v>
      </c>
      <c r="J47" t="s">
        <v>217</v>
      </c>
      <c r="M47" t="b">
        <f>_xlfn.LET(_xlpm.key,A47,_xlpm.newHash,G47,_xlpm.oldHash,_xlfn.XLOOKUP(_xlpm.key,Halmet!A:A,Halmet!G:G,""),OR(_xlpm.oldHash="",_xlpm.oldHash&lt;&gt;_xlpm.newHash))</f>
        <v>0</v>
      </c>
    </row>
    <row r="48" spans="1:13" x14ac:dyDescent="0.45">
      <c r="A48" t="s">
        <v>209</v>
      </c>
      <c r="B48">
        <v>1</v>
      </c>
      <c r="C48" t="s">
        <v>210</v>
      </c>
      <c r="E48" t="s">
        <v>211</v>
      </c>
      <c r="G48" t="s">
        <v>212</v>
      </c>
      <c r="H48" t="s">
        <v>82</v>
      </c>
      <c r="M48" t="b">
        <f>_xlfn.LET(_xlpm.key,A48,_xlpm.newHash,G48,_xlpm.oldHash,_xlfn.XLOOKUP(_xlpm.key,Halmet!A:A,Halmet!G:G,""),OR(_xlpm.oldHash="",_xlpm.oldHash&lt;&gt;_xlpm.newHash))</f>
        <v>0</v>
      </c>
    </row>
    <row r="49" spans="1:13" x14ac:dyDescent="0.45">
      <c r="A49" t="s">
        <v>207</v>
      </c>
      <c r="B49">
        <v>2</v>
      </c>
      <c r="C49" t="s">
        <v>187</v>
      </c>
      <c r="G49" t="s">
        <v>208</v>
      </c>
      <c r="H49" t="s">
        <v>82</v>
      </c>
      <c r="M49" t="b">
        <f>_xlfn.LET(_xlpm.key,A49,_xlpm.newHash,G49,_xlpm.oldHash,_xlfn.XLOOKUP(_xlpm.key,Halmet!A:A,Halmet!G:G,""),OR(_xlpm.oldHash="",_xlpm.oldHash&lt;&gt;_xlpm.newHash))</f>
        <v>0</v>
      </c>
    </row>
    <row r="50" spans="1:13" x14ac:dyDescent="0.45">
      <c r="A50" t="s">
        <v>202</v>
      </c>
      <c r="B50">
        <v>1</v>
      </c>
      <c r="C50" t="s">
        <v>203</v>
      </c>
      <c r="G50" t="s">
        <v>204</v>
      </c>
      <c r="H50" t="s">
        <v>82</v>
      </c>
      <c r="I50" t="s">
        <v>205</v>
      </c>
      <c r="J50" t="s">
        <v>206</v>
      </c>
      <c r="M50" t="b">
        <f>_xlfn.LET(_xlpm.key,A50,_xlpm.newHash,G50,_xlpm.oldHash,_xlfn.XLOOKUP(_xlpm.key,Halmet!A:A,Halmet!G:G,""),OR(_xlpm.oldHash="",_xlpm.oldHash&lt;&gt;_xlpm.newHash))</f>
        <v>0</v>
      </c>
    </row>
    <row r="51" spans="1:13" x14ac:dyDescent="0.45">
      <c r="A51" t="s">
        <v>199</v>
      </c>
      <c r="B51">
        <v>1</v>
      </c>
      <c r="C51" t="s">
        <v>173</v>
      </c>
      <c r="G51" t="s">
        <v>200</v>
      </c>
      <c r="H51" t="s">
        <v>82</v>
      </c>
      <c r="I51" t="s">
        <v>201</v>
      </c>
      <c r="M51" t="b">
        <f>_xlfn.LET(_xlpm.key,A51,_xlpm.newHash,G51,_xlpm.oldHash,_xlfn.XLOOKUP(_xlpm.key,Halmet!A:A,Halmet!G:G,""),OR(_xlpm.oldHash="",_xlpm.oldHash&lt;&gt;_xlpm.newHash))</f>
        <v>1</v>
      </c>
    </row>
    <row r="52" spans="1:13" x14ac:dyDescent="0.45">
      <c r="A52" t="s">
        <v>196</v>
      </c>
      <c r="B52">
        <v>1</v>
      </c>
      <c r="C52" t="s">
        <v>197</v>
      </c>
      <c r="G52" t="s">
        <v>198</v>
      </c>
      <c r="H52" t="s">
        <v>82</v>
      </c>
      <c r="I52" t="s">
        <v>384</v>
      </c>
      <c r="M52" t="b">
        <f>_xlfn.LET(_xlpm.key,A52,_xlpm.newHash,G52,_xlpm.oldHash,_xlfn.XLOOKUP(_xlpm.key,Halmet!A:A,Halmet!G:G,""),OR(_xlpm.oldHash="",_xlpm.oldHash&lt;&gt;_xlpm.newHash))</f>
        <v>1</v>
      </c>
    </row>
    <row r="53" spans="1:13" x14ac:dyDescent="0.45">
      <c r="A53" t="s">
        <v>191</v>
      </c>
      <c r="B53">
        <v>1</v>
      </c>
      <c r="C53" t="s">
        <v>192</v>
      </c>
      <c r="G53" t="s">
        <v>193</v>
      </c>
      <c r="H53" t="s">
        <v>82</v>
      </c>
      <c r="I53" t="s">
        <v>194</v>
      </c>
      <c r="J53" t="s">
        <v>195</v>
      </c>
      <c r="M53" t="b">
        <f>_xlfn.LET(_xlpm.key,A53,_xlpm.newHash,G53,_xlpm.oldHash,_xlfn.XLOOKUP(_xlpm.key,Halmet!A:A,Halmet!G:G,""),OR(_xlpm.oldHash="",_xlpm.oldHash&lt;&gt;_xlpm.newHash))</f>
        <v>0</v>
      </c>
    </row>
    <row r="54" spans="1:13" x14ac:dyDescent="0.45">
      <c r="A54" t="s">
        <v>186</v>
      </c>
      <c r="B54">
        <v>8</v>
      </c>
      <c r="C54" t="s">
        <v>187</v>
      </c>
      <c r="G54" t="s">
        <v>188</v>
      </c>
      <c r="H54" t="s">
        <v>82</v>
      </c>
      <c r="I54" t="s">
        <v>189</v>
      </c>
      <c r="J54" t="s">
        <v>190</v>
      </c>
      <c r="M54" t="b">
        <f>_xlfn.LET(_xlpm.key,A54,_xlpm.newHash,G54,_xlpm.oldHash,_xlfn.XLOOKUP(_xlpm.key,Halmet!A:A,Halmet!G:G,""),OR(_xlpm.oldHash="",_xlpm.oldHash&lt;&gt;_xlpm.newHash))</f>
        <v>0</v>
      </c>
    </row>
    <row r="55" spans="1:13" x14ac:dyDescent="0.45">
      <c r="A55" t="s">
        <v>182</v>
      </c>
      <c r="B55">
        <v>1</v>
      </c>
      <c r="C55" t="s">
        <v>173</v>
      </c>
      <c r="G55" t="s">
        <v>183</v>
      </c>
      <c r="H55" t="s">
        <v>82</v>
      </c>
      <c r="I55" t="s">
        <v>184</v>
      </c>
      <c r="J55" t="s">
        <v>185</v>
      </c>
      <c r="M55" t="b">
        <f>_xlfn.LET(_xlpm.key,A55,_xlpm.newHash,G55,_xlpm.oldHash,_xlfn.XLOOKUP(_xlpm.key,Halmet!A:A,Halmet!G:G,""),OR(_xlpm.oldHash="",_xlpm.oldHash&lt;&gt;_xlpm.newHash))</f>
        <v>0</v>
      </c>
    </row>
    <row r="56" spans="1:13" x14ac:dyDescent="0.45">
      <c r="A56" t="s">
        <v>177</v>
      </c>
      <c r="B56">
        <v>1</v>
      </c>
      <c r="C56" t="s">
        <v>178</v>
      </c>
      <c r="G56" t="s">
        <v>179</v>
      </c>
      <c r="H56" t="s">
        <v>82</v>
      </c>
      <c r="I56" t="s">
        <v>180</v>
      </c>
      <c r="J56" t="s">
        <v>181</v>
      </c>
      <c r="M56" t="b">
        <f>_xlfn.LET(_xlpm.key,A56,_xlpm.newHash,G56,_xlpm.oldHash,_xlfn.XLOOKUP(_xlpm.key,Halmet!A:A,Halmet!G:G,""),OR(_xlpm.oldHash="",_xlpm.oldHash&lt;&gt;_xlpm.newHash))</f>
        <v>0</v>
      </c>
    </row>
    <row r="57" spans="1:13" x14ac:dyDescent="0.45">
      <c r="A57" t="s">
        <v>172</v>
      </c>
      <c r="B57">
        <v>1</v>
      </c>
      <c r="C57" t="s">
        <v>173</v>
      </c>
      <c r="G57" t="s">
        <v>174</v>
      </c>
      <c r="H57" t="s">
        <v>82</v>
      </c>
      <c r="I57" t="s">
        <v>175</v>
      </c>
      <c r="J57" t="s">
        <v>176</v>
      </c>
      <c r="M57" t="b">
        <f>_xlfn.LET(_xlpm.key,A57,_xlpm.newHash,G57,_xlpm.oldHash,_xlfn.XLOOKUP(_xlpm.key,Halmet!A:A,Halmet!G:G,""),OR(_xlpm.oldHash="",_xlpm.oldHash&lt;&gt;_xlpm.newHash))</f>
        <v>0</v>
      </c>
    </row>
    <row r="58" spans="1:13" x14ac:dyDescent="0.45">
      <c r="A58" t="s">
        <v>169</v>
      </c>
      <c r="B58">
        <v>1</v>
      </c>
      <c r="C58" t="s">
        <v>170</v>
      </c>
      <c r="G58" t="s">
        <v>171</v>
      </c>
      <c r="H58" t="s">
        <v>82</v>
      </c>
      <c r="I58" t="s">
        <v>383</v>
      </c>
      <c r="M58" t="b">
        <f>_xlfn.LET(_xlpm.key,A58,_xlpm.newHash,G58,_xlpm.oldHash,_xlfn.XLOOKUP(_xlpm.key,Halmet!A:A,Halmet!G:G,""),OR(_xlpm.oldHash="",_xlpm.oldHash&lt;&gt;_xlpm.newHash))</f>
        <v>1</v>
      </c>
    </row>
    <row r="59" spans="1:13" x14ac:dyDescent="0.45">
      <c r="A59" t="s">
        <v>166</v>
      </c>
      <c r="B59">
        <v>13</v>
      </c>
      <c r="C59" t="s">
        <v>167</v>
      </c>
      <c r="G59" t="s">
        <v>168</v>
      </c>
      <c r="H59" t="s">
        <v>82</v>
      </c>
      <c r="M59" t="b">
        <f>_xlfn.LET(_xlpm.key,A59,_xlpm.newHash,G59,_xlpm.oldHash,_xlfn.XLOOKUP(_xlpm.key,Halmet!A:A,Halmet!G:G,""),OR(_xlpm.oldHash="",_xlpm.oldHash&lt;&gt;_xlpm.newHash))</f>
        <v>0</v>
      </c>
    </row>
    <row r="60" spans="1:13" x14ac:dyDescent="0.45">
      <c r="A60" t="s">
        <v>163</v>
      </c>
      <c r="B60">
        <v>3</v>
      </c>
      <c r="C60" t="s">
        <v>164</v>
      </c>
      <c r="G60" t="s">
        <v>165</v>
      </c>
      <c r="H60" t="s">
        <v>82</v>
      </c>
      <c r="M60" t="b">
        <f>_xlfn.LET(_xlpm.key,A60,_xlpm.newHash,G60,_xlpm.oldHash,_xlfn.XLOOKUP(_xlpm.key,Halmet!A:A,Halmet!G:G,""),OR(_xlpm.oldHash="",_xlpm.oldHash&lt;&gt;_xlpm.newHash))</f>
        <v>0</v>
      </c>
    </row>
    <row r="61" spans="1:13" x14ac:dyDescent="0.45">
      <c r="A61" t="s">
        <v>160</v>
      </c>
      <c r="B61">
        <v>1</v>
      </c>
      <c r="C61" t="s">
        <v>161</v>
      </c>
      <c r="G61" t="s">
        <v>162</v>
      </c>
      <c r="H61" t="s">
        <v>82</v>
      </c>
      <c r="M61" t="b">
        <f>_xlfn.LET(_xlpm.key,A61,_xlpm.newHash,G61,_xlpm.oldHash,_xlfn.XLOOKUP(_xlpm.key,Halmet!A:A,Halmet!G:G,""),OR(_xlpm.oldHash="",_xlpm.oldHash&lt;&gt;_xlpm.newHash))</f>
        <v>0</v>
      </c>
    </row>
    <row r="62" spans="1:13" x14ac:dyDescent="0.45">
      <c r="A62" t="s">
        <v>148</v>
      </c>
      <c r="B62">
        <v>2</v>
      </c>
      <c r="C62" t="s">
        <v>149</v>
      </c>
      <c r="G62" t="s">
        <v>150</v>
      </c>
      <c r="H62" t="s">
        <v>82</v>
      </c>
      <c r="I62" t="s">
        <v>151</v>
      </c>
      <c r="M62" t="b">
        <f>_xlfn.LET(_xlpm.key,A62,_xlpm.newHash,G62,_xlpm.oldHash,_xlfn.XLOOKUP(_xlpm.key,Halmet!A:A,Halmet!G:G,""),OR(_xlpm.oldHash="",_xlpm.oldHash&lt;&gt;_xlpm.newHash))</f>
        <v>0</v>
      </c>
    </row>
    <row r="63" spans="1:13" x14ac:dyDescent="0.45">
      <c r="A63" t="s">
        <v>156</v>
      </c>
      <c r="B63">
        <v>1</v>
      </c>
      <c r="C63" t="s">
        <v>157</v>
      </c>
      <c r="G63" t="s">
        <v>158</v>
      </c>
      <c r="H63" t="s">
        <v>82</v>
      </c>
      <c r="I63" t="s">
        <v>159</v>
      </c>
      <c r="M63" t="b">
        <f>_xlfn.LET(_xlpm.key,A63,_xlpm.newHash,G63,_xlpm.oldHash,_xlfn.XLOOKUP(_xlpm.key,Halmet!A:A,Halmet!G:G,""),OR(_xlpm.oldHash="",_xlpm.oldHash&lt;&gt;_xlpm.newHash))</f>
        <v>0</v>
      </c>
    </row>
    <row r="64" spans="1:13" x14ac:dyDescent="0.45">
      <c r="A64" t="s">
        <v>152</v>
      </c>
      <c r="B64">
        <v>1</v>
      </c>
      <c r="C64" t="s">
        <v>153</v>
      </c>
      <c r="G64" t="s">
        <v>154</v>
      </c>
      <c r="H64" t="s">
        <v>82</v>
      </c>
      <c r="I64" t="s">
        <v>155</v>
      </c>
      <c r="M64" t="b">
        <f>_xlfn.LET(_xlpm.key,A64,_xlpm.newHash,G64,_xlpm.oldHash,_xlfn.XLOOKUP(_xlpm.key,Halmet!A:A,Halmet!G:G,""),OR(_xlpm.oldHash="",_xlpm.oldHash&lt;&gt;_xlpm.newHash))</f>
        <v>0</v>
      </c>
    </row>
    <row r="65" spans="1:13" x14ac:dyDescent="0.45">
      <c r="A65" t="s">
        <v>143</v>
      </c>
      <c r="B65">
        <v>1</v>
      </c>
      <c r="C65" t="s">
        <v>144</v>
      </c>
      <c r="G65" t="s">
        <v>145</v>
      </c>
      <c r="I65" t="s">
        <v>146</v>
      </c>
      <c r="J65" t="s">
        <v>147</v>
      </c>
      <c r="M65" t="b">
        <f>_xlfn.LET(_xlpm.key,A65,_xlpm.newHash,G65,_xlpm.oldHash,_xlfn.XLOOKUP(_xlpm.key,Halmet!A:A,Halmet!G:G,""),OR(_xlpm.oldHash="",_xlpm.oldHash&lt;&gt;_xlpm.newHash))</f>
        <v>0</v>
      </c>
    </row>
    <row r="66" spans="1:13" x14ac:dyDescent="0.45">
      <c r="A66" t="s">
        <v>138</v>
      </c>
      <c r="B66">
        <v>2</v>
      </c>
      <c r="C66" t="s">
        <v>139</v>
      </c>
      <c r="G66" t="s">
        <v>140</v>
      </c>
      <c r="H66" t="s">
        <v>141</v>
      </c>
      <c r="I66" t="s">
        <v>142</v>
      </c>
      <c r="J66" t="s">
        <v>14</v>
      </c>
      <c r="M66" t="b">
        <f>_xlfn.LET(_xlpm.key,A66,_xlpm.newHash,G66,_xlpm.oldHash,_xlfn.XLOOKUP(_xlpm.key,Halmet!A:A,Halmet!G:G,""),OR(_xlpm.oldHash="",_xlpm.oldHash&lt;&gt;_xlpm.newHash))</f>
        <v>0</v>
      </c>
    </row>
    <row r="67" spans="1:13" x14ac:dyDescent="0.45">
      <c r="A67" t="s">
        <v>134</v>
      </c>
      <c r="B67">
        <v>4</v>
      </c>
      <c r="C67" t="s">
        <v>135</v>
      </c>
      <c r="G67" t="s">
        <v>136</v>
      </c>
      <c r="H67" t="s">
        <v>82</v>
      </c>
      <c r="I67" t="s">
        <v>137</v>
      </c>
      <c r="J67" t="s">
        <v>14</v>
      </c>
      <c r="M67" t="b">
        <f>_xlfn.LET(_xlpm.key,A67,_xlpm.newHash,G67,_xlpm.oldHash,_xlfn.XLOOKUP(_xlpm.key,Halmet!A:A,Halmet!G:G,""),OR(_xlpm.oldHash="",_xlpm.oldHash&lt;&gt;_xlpm.newHash))</f>
        <v>0</v>
      </c>
    </row>
    <row r="68" spans="1:13" x14ac:dyDescent="0.45">
      <c r="A68" t="s">
        <v>91</v>
      </c>
      <c r="B68">
        <v>2</v>
      </c>
      <c r="C68" t="s">
        <v>92</v>
      </c>
      <c r="G68" t="s">
        <v>86</v>
      </c>
      <c r="H68" t="s">
        <v>82</v>
      </c>
      <c r="I68" t="s">
        <v>93</v>
      </c>
      <c r="M68" t="b">
        <f>_xlfn.LET(_xlpm.key,A68,_xlpm.newHash,G68,_xlpm.oldHash,_xlfn.XLOOKUP(_xlpm.key,Halmet!A:A,Halmet!G:G,""),OR(_xlpm.oldHash="",_xlpm.oldHash&lt;&gt;_xlpm.newHash))</f>
        <v>0</v>
      </c>
    </row>
    <row r="69" spans="1:13" x14ac:dyDescent="0.45">
      <c r="A69" t="s">
        <v>88</v>
      </c>
      <c r="B69">
        <v>4</v>
      </c>
      <c r="C69" t="s">
        <v>89</v>
      </c>
      <c r="G69" t="s">
        <v>86</v>
      </c>
      <c r="H69" t="s">
        <v>82</v>
      </c>
      <c r="I69" t="s">
        <v>90</v>
      </c>
      <c r="M69" t="b">
        <f>_xlfn.LET(_xlpm.key,A69,_xlpm.newHash,G69,_xlpm.oldHash,_xlfn.XLOOKUP(_xlpm.key,Halmet!A:A,Halmet!G:G,""),OR(_xlpm.oldHash="",_xlpm.oldHash&lt;&gt;_xlpm.newHash))</f>
        <v>0</v>
      </c>
    </row>
    <row r="70" spans="1:13" x14ac:dyDescent="0.45">
      <c r="A70" t="s">
        <v>84</v>
      </c>
      <c r="B70">
        <v>1</v>
      </c>
      <c r="C70" t="s">
        <v>85</v>
      </c>
      <c r="G70" t="s">
        <v>86</v>
      </c>
      <c r="H70" t="s">
        <v>82</v>
      </c>
      <c r="I70" t="s">
        <v>87</v>
      </c>
      <c r="M70" t="b">
        <f>_xlfn.LET(_xlpm.key,A70,_xlpm.newHash,G70,_xlpm.oldHash,_xlfn.XLOOKUP(_xlpm.key,Halmet!A:A,Halmet!G:G,""),OR(_xlpm.oldHash="",_xlpm.oldHash&lt;&gt;_xlpm.newHash))</f>
        <v>0</v>
      </c>
    </row>
    <row r="71" spans="1:13" x14ac:dyDescent="0.45">
      <c r="A71" t="s">
        <v>131</v>
      </c>
      <c r="B71">
        <v>7</v>
      </c>
      <c r="C71" t="s">
        <v>132</v>
      </c>
      <c r="G71" t="s">
        <v>86</v>
      </c>
      <c r="H71" t="s">
        <v>82</v>
      </c>
      <c r="I71" t="s">
        <v>133</v>
      </c>
      <c r="M71" t="b">
        <f>_xlfn.LET(_xlpm.key,A71,_xlpm.newHash,G71,_xlpm.oldHash,_xlfn.XLOOKUP(_xlpm.key,Halmet!A:A,Halmet!G:G,""),OR(_xlpm.oldHash="",_xlpm.oldHash&lt;&gt;_xlpm.newHash))</f>
        <v>0</v>
      </c>
    </row>
    <row r="72" spans="1:13" x14ac:dyDescent="0.45">
      <c r="A72" t="s">
        <v>129</v>
      </c>
      <c r="B72">
        <v>2</v>
      </c>
      <c r="C72" t="s">
        <v>111</v>
      </c>
      <c r="G72" t="s">
        <v>86</v>
      </c>
      <c r="H72" t="s">
        <v>82</v>
      </c>
      <c r="I72" t="s">
        <v>130</v>
      </c>
      <c r="M72" t="b">
        <f>_xlfn.LET(_xlpm.key,A72,_xlpm.newHash,G72,_xlpm.oldHash,_xlfn.XLOOKUP(_xlpm.key,Halmet!A:A,Halmet!G:G,""),OR(_xlpm.oldHash="",_xlpm.oldHash&lt;&gt;_xlpm.newHash))</f>
        <v>1</v>
      </c>
    </row>
    <row r="73" spans="1:13" x14ac:dyDescent="0.45">
      <c r="A73" t="s">
        <v>126</v>
      </c>
      <c r="B73">
        <v>6</v>
      </c>
      <c r="C73" t="s">
        <v>127</v>
      </c>
      <c r="G73" t="s">
        <v>86</v>
      </c>
      <c r="H73" t="s">
        <v>82</v>
      </c>
      <c r="I73" t="s">
        <v>128</v>
      </c>
      <c r="M73" t="b">
        <f>_xlfn.LET(_xlpm.key,A73,_xlpm.newHash,G73,_xlpm.oldHash,_xlfn.XLOOKUP(_xlpm.key,Halmet!A:A,Halmet!G:G,""),OR(_xlpm.oldHash="",_xlpm.oldHash&lt;&gt;_xlpm.newHash))</f>
        <v>1</v>
      </c>
    </row>
    <row r="74" spans="1:13" x14ac:dyDescent="0.45">
      <c r="A74" t="s">
        <v>123</v>
      </c>
      <c r="B74">
        <v>1</v>
      </c>
      <c r="C74" t="s">
        <v>124</v>
      </c>
      <c r="G74" t="s">
        <v>86</v>
      </c>
      <c r="H74" t="s">
        <v>82</v>
      </c>
      <c r="I74" t="s">
        <v>125</v>
      </c>
      <c r="M74" t="b">
        <f>_xlfn.LET(_xlpm.key,A74,_xlpm.newHash,G74,_xlpm.oldHash,_xlfn.XLOOKUP(_xlpm.key,Halmet!A:A,Halmet!G:G,""),OR(_xlpm.oldHash="",_xlpm.oldHash&lt;&gt;_xlpm.newHash))</f>
        <v>1</v>
      </c>
    </row>
    <row r="75" spans="1:13" x14ac:dyDescent="0.45">
      <c r="A75" t="s">
        <v>119</v>
      </c>
      <c r="B75">
        <v>2</v>
      </c>
      <c r="C75" t="s">
        <v>120</v>
      </c>
      <c r="G75" t="s">
        <v>121</v>
      </c>
      <c r="H75" t="s">
        <v>82</v>
      </c>
      <c r="I75" t="s">
        <v>122</v>
      </c>
      <c r="M75" t="b">
        <f>_xlfn.LET(_xlpm.key,A75,_xlpm.newHash,G75,_xlpm.oldHash,_xlfn.XLOOKUP(_xlpm.key,Halmet!A:A,Halmet!G:G,""),OR(_xlpm.oldHash="",_xlpm.oldHash&lt;&gt;_xlpm.newHash))</f>
        <v>1</v>
      </c>
    </row>
    <row r="76" spans="1:13" x14ac:dyDescent="0.45">
      <c r="A76" t="s">
        <v>116</v>
      </c>
      <c r="B76">
        <v>6</v>
      </c>
      <c r="C76" t="s">
        <v>117</v>
      </c>
      <c r="G76" t="s">
        <v>86</v>
      </c>
      <c r="H76" t="s">
        <v>82</v>
      </c>
      <c r="I76" t="s">
        <v>118</v>
      </c>
      <c r="M76" t="b">
        <f>_xlfn.LET(_xlpm.key,A76,_xlpm.newHash,G76,_xlpm.oldHash,_xlfn.XLOOKUP(_xlpm.key,Halmet!A:A,Halmet!G:G,""),OR(_xlpm.oldHash="",_xlpm.oldHash&lt;&gt;_xlpm.newHash))</f>
        <v>0</v>
      </c>
    </row>
    <row r="77" spans="1:13" x14ac:dyDescent="0.45">
      <c r="A77" t="s">
        <v>113</v>
      </c>
      <c r="B77">
        <v>1</v>
      </c>
      <c r="C77" t="s">
        <v>114</v>
      </c>
      <c r="G77" t="s">
        <v>86</v>
      </c>
      <c r="H77" t="s">
        <v>82</v>
      </c>
      <c r="I77" t="s">
        <v>115</v>
      </c>
      <c r="M77" t="b">
        <f>_xlfn.LET(_xlpm.key,A77,_xlpm.newHash,G77,_xlpm.oldHash,_xlfn.XLOOKUP(_xlpm.key,Halmet!A:A,Halmet!G:G,""),OR(_xlpm.oldHash="",_xlpm.oldHash&lt;&gt;_xlpm.newHash))</f>
        <v>1</v>
      </c>
    </row>
    <row r="78" spans="1:13" x14ac:dyDescent="0.45">
      <c r="A78" t="s">
        <v>110</v>
      </c>
      <c r="B78">
        <v>2</v>
      </c>
      <c r="C78" t="s">
        <v>111</v>
      </c>
      <c r="G78" t="s">
        <v>96</v>
      </c>
      <c r="H78" t="s">
        <v>82</v>
      </c>
      <c r="I78" t="s">
        <v>112</v>
      </c>
      <c r="M78" t="b">
        <f>_xlfn.LET(_xlpm.key,A78,_xlpm.newHash,G78,_xlpm.oldHash,_xlfn.XLOOKUP(_xlpm.key,Halmet!A:A,Halmet!G:G,""),OR(_xlpm.oldHash="",_xlpm.oldHash&lt;&gt;_xlpm.newHash))</f>
        <v>0</v>
      </c>
    </row>
    <row r="79" spans="1:13" x14ac:dyDescent="0.45">
      <c r="A79" t="s">
        <v>108</v>
      </c>
      <c r="B79">
        <v>4</v>
      </c>
      <c r="C79">
        <v>30</v>
      </c>
      <c r="G79" t="s">
        <v>100</v>
      </c>
      <c r="H79" t="s">
        <v>82</v>
      </c>
      <c r="I79" t="s">
        <v>109</v>
      </c>
      <c r="M79" t="b">
        <f>_xlfn.LET(_xlpm.key,A79,_xlpm.newHash,G79,_xlpm.oldHash,_xlfn.XLOOKUP(_xlpm.key,Halmet!A:A,Halmet!G:G,""),OR(_xlpm.oldHash="",_xlpm.oldHash&lt;&gt;_xlpm.newHash))</f>
        <v>0</v>
      </c>
    </row>
    <row r="80" spans="1:13" x14ac:dyDescent="0.45">
      <c r="A80" t="s">
        <v>105</v>
      </c>
      <c r="B80">
        <v>8</v>
      </c>
      <c r="C80" t="s">
        <v>106</v>
      </c>
      <c r="G80" t="s">
        <v>100</v>
      </c>
      <c r="H80" t="s">
        <v>82</v>
      </c>
      <c r="I80" t="s">
        <v>107</v>
      </c>
      <c r="M80" t="b">
        <f>_xlfn.LET(_xlpm.key,A80,_xlpm.newHash,G80,_xlpm.oldHash,_xlfn.XLOOKUP(_xlpm.key,Halmet!A:A,Halmet!G:G,""),OR(_xlpm.oldHash="",_xlpm.oldHash&lt;&gt;_xlpm.newHash))</f>
        <v>0</v>
      </c>
    </row>
    <row r="81" spans="1:13" x14ac:dyDescent="0.45">
      <c r="A81" t="s">
        <v>102</v>
      </c>
      <c r="B81">
        <v>5</v>
      </c>
      <c r="C81" t="s">
        <v>103</v>
      </c>
      <c r="G81" t="s">
        <v>86</v>
      </c>
      <c r="H81" t="s">
        <v>82</v>
      </c>
      <c r="I81" t="s">
        <v>104</v>
      </c>
      <c r="M81" t="b">
        <f>_xlfn.LET(_xlpm.key,A81,_xlpm.newHash,G81,_xlpm.oldHash,_xlfn.XLOOKUP(_xlpm.key,Halmet!A:A,Halmet!G:G,""),OR(_xlpm.oldHash="",_xlpm.oldHash&lt;&gt;_xlpm.newHash))</f>
        <v>0</v>
      </c>
    </row>
    <row r="82" spans="1:13" x14ac:dyDescent="0.45">
      <c r="A82" t="s">
        <v>98</v>
      </c>
      <c r="B82">
        <v>1</v>
      </c>
      <c r="C82" t="s">
        <v>99</v>
      </c>
      <c r="G82" t="s">
        <v>100</v>
      </c>
      <c r="H82" t="s">
        <v>82</v>
      </c>
      <c r="I82" t="s">
        <v>101</v>
      </c>
      <c r="M82" t="b">
        <f>_xlfn.LET(_xlpm.key,A82,_xlpm.newHash,G82,_xlpm.oldHash,_xlfn.XLOOKUP(_xlpm.key,Halmet!A:A,Halmet!G:G,""),OR(_xlpm.oldHash="",_xlpm.oldHash&lt;&gt;_xlpm.newHash))</f>
        <v>0</v>
      </c>
    </row>
    <row r="83" spans="1:13" x14ac:dyDescent="0.45">
      <c r="A83" t="s">
        <v>94</v>
      </c>
      <c r="B83">
        <v>1</v>
      </c>
      <c r="C83" t="s">
        <v>95</v>
      </c>
      <c r="G83" t="s">
        <v>96</v>
      </c>
      <c r="H83" t="s">
        <v>82</v>
      </c>
      <c r="I83" t="s">
        <v>97</v>
      </c>
      <c r="M83" t="b">
        <f>_xlfn.LET(_xlpm.key,A83,_xlpm.newHash,G83,_xlpm.oldHash,_xlfn.XLOOKUP(_xlpm.key,Halmet!A:A,Halmet!G:G,""),OR(_xlpm.oldHash="",_xlpm.oldHash&lt;&gt;_xlpm.newHash))</f>
        <v>0</v>
      </c>
    </row>
    <row r="84" spans="1:13" x14ac:dyDescent="0.45">
      <c r="A84" t="s">
        <v>79</v>
      </c>
      <c r="B84">
        <v>2</v>
      </c>
      <c r="C84" t="s">
        <v>80</v>
      </c>
      <c r="G84" t="s">
        <v>81</v>
      </c>
      <c r="H84" t="s">
        <v>82</v>
      </c>
      <c r="I84" t="s">
        <v>83</v>
      </c>
      <c r="M84" t="b">
        <f>_xlfn.LET(_xlpm.key,A84,_xlpm.newHash,G84,_xlpm.oldHash,_xlfn.XLOOKUP(_xlpm.key,Halmet!A:A,Halmet!G:G,""),OR(_xlpm.oldHash="",_xlpm.oldHash&lt;&gt;_xlpm.newHash))</f>
        <v>0</v>
      </c>
    </row>
    <row r="85" spans="1:13" x14ac:dyDescent="0.45">
      <c r="A85" t="s">
        <v>31</v>
      </c>
      <c r="B85">
        <v>4</v>
      </c>
      <c r="C85" t="s">
        <v>32</v>
      </c>
      <c r="G85" t="s">
        <v>33</v>
      </c>
      <c r="H85" t="s">
        <v>34</v>
      </c>
      <c r="I85" t="s">
        <v>35</v>
      </c>
      <c r="J85" t="s">
        <v>20</v>
      </c>
      <c r="M85" t="b">
        <f>_xlfn.LET(_xlpm.key,A85,_xlpm.newHash,G85,_xlpm.oldHash,_xlfn.XLOOKUP(_xlpm.key,Halmet!A:A,Halmet!G:G,""),OR(_xlpm.oldHash="",_xlpm.oldHash&lt;&gt;_xlpm.newHash))</f>
        <v>0</v>
      </c>
    </row>
    <row r="86" spans="1:13" x14ac:dyDescent="0.45">
      <c r="A86" t="s">
        <v>26</v>
      </c>
      <c r="B86">
        <v>1</v>
      </c>
      <c r="C86" t="s">
        <v>27</v>
      </c>
      <c r="G86" t="s">
        <v>28</v>
      </c>
      <c r="H86" t="s">
        <v>29</v>
      </c>
      <c r="I86" t="s">
        <v>30</v>
      </c>
      <c r="M86" t="b">
        <f>_xlfn.LET(_xlpm.key,A86,_xlpm.newHash,G86,_xlpm.oldHash,_xlfn.XLOOKUP(_xlpm.key,Halmet!A:A,Halmet!G:G,""),OR(_xlpm.oldHash="",_xlpm.oldHash&lt;&gt;_xlpm.newHash))</f>
        <v>1</v>
      </c>
    </row>
    <row r="87" spans="1:13" x14ac:dyDescent="0.45">
      <c r="A87" t="s">
        <v>21</v>
      </c>
      <c r="B87">
        <v>1</v>
      </c>
      <c r="C87" t="s">
        <v>22</v>
      </c>
      <c r="G87" t="s">
        <v>23</v>
      </c>
      <c r="H87" t="s">
        <v>24</v>
      </c>
      <c r="I87" t="s">
        <v>25</v>
      </c>
      <c r="J87" t="s">
        <v>20</v>
      </c>
      <c r="M87" t="b">
        <f>_xlfn.LET(_xlpm.key,A87,_xlpm.newHash,G87,_xlpm.oldHash,_xlfn.XLOOKUP(_xlpm.key,Halmet!A:A,Halmet!G:G,""),OR(_xlpm.oldHash="",_xlpm.oldHash&lt;&gt;_xlpm.newHash))</f>
        <v>0</v>
      </c>
    </row>
    <row r="88" spans="1:13" x14ac:dyDescent="0.45">
      <c r="A88" t="s">
        <v>15</v>
      </c>
      <c r="B88">
        <v>1</v>
      </c>
      <c r="C88" t="s">
        <v>16</v>
      </c>
      <c r="G88" t="s">
        <v>17</v>
      </c>
      <c r="H88" t="s">
        <v>18</v>
      </c>
      <c r="I88" t="s">
        <v>19</v>
      </c>
      <c r="J88" t="s">
        <v>20</v>
      </c>
      <c r="M88" t="b">
        <f>_xlfn.LET(_xlpm.key,A88,_xlpm.newHash,G88,_xlpm.oldHash,_xlfn.XLOOKUP(_xlpm.key,Halmet!A:A,Halmet!G:G,""),OR(_xlpm.oldHash="",_xlpm.oldHash&lt;&gt;_xlpm.newHash))</f>
        <v>0</v>
      </c>
    </row>
    <row r="89" spans="1:13" x14ac:dyDescent="0.45">
      <c r="A89" t="s">
        <v>10</v>
      </c>
      <c r="B89">
        <v>1</v>
      </c>
      <c r="C89" t="s">
        <v>11</v>
      </c>
      <c r="G89" t="s">
        <v>12</v>
      </c>
      <c r="I89" t="s">
        <v>13</v>
      </c>
      <c r="J89" t="s">
        <v>14</v>
      </c>
      <c r="M89" t="b">
        <f>_xlfn.LET(_xlpm.key,A89,_xlpm.newHash,G89,_xlpm.oldHash,_xlfn.XLOOKUP(_xlpm.key,Halmet!A:A,Halmet!G:G,""),OR(_xlpm.oldHash="",_xlpm.oldHash&lt;&gt;_xlpm.newHash))</f>
        <v>0</v>
      </c>
    </row>
    <row r="90" spans="1:13" x14ac:dyDescent="0.45">
      <c r="A90" t="s">
        <v>73</v>
      </c>
      <c r="B90">
        <v>1</v>
      </c>
      <c r="C90" t="s">
        <v>74</v>
      </c>
      <c r="G90" t="s">
        <v>75</v>
      </c>
      <c r="H90" t="s">
        <v>76</v>
      </c>
      <c r="I90" t="s">
        <v>77</v>
      </c>
      <c r="J90" t="s">
        <v>78</v>
      </c>
      <c r="M90" t="b">
        <f>_xlfn.LET(_xlpm.key,A90,_xlpm.newHash,G90,_xlpm.oldHash,_xlfn.XLOOKUP(_xlpm.key,Halmet!A:A,Halmet!G:G,""),OR(_xlpm.oldHash="",_xlpm.oldHash&lt;&gt;_xlpm.newHash))</f>
        <v>1</v>
      </c>
    </row>
    <row r="91" spans="1:13" x14ac:dyDescent="0.45">
      <c r="A91" t="s">
        <v>69</v>
      </c>
      <c r="B91">
        <v>1</v>
      </c>
      <c r="C91" t="s">
        <v>70</v>
      </c>
      <c r="G91" t="s">
        <v>71</v>
      </c>
      <c r="I91" t="s">
        <v>72</v>
      </c>
      <c r="J91" t="s">
        <v>20</v>
      </c>
      <c r="M91" t="b">
        <f>_xlfn.LET(_xlpm.key,A91,_xlpm.newHash,G91,_xlpm.oldHash,_xlfn.XLOOKUP(_xlpm.key,Halmet!A:A,Halmet!G:G,""),OR(_xlpm.oldHash="",_xlpm.oldHash&lt;&gt;_xlpm.newHash))</f>
        <v>0</v>
      </c>
    </row>
    <row r="92" spans="1:13" x14ac:dyDescent="0.45">
      <c r="A92" t="s">
        <v>64</v>
      </c>
      <c r="B92">
        <v>1</v>
      </c>
      <c r="C92" t="s">
        <v>65</v>
      </c>
      <c r="G92" t="s">
        <v>66</v>
      </c>
      <c r="H92" t="s">
        <v>67</v>
      </c>
      <c r="I92" t="s">
        <v>68</v>
      </c>
      <c r="M92" t="b">
        <f>_xlfn.LET(_xlpm.key,A92,_xlpm.newHash,G92,_xlpm.oldHash,_xlfn.XLOOKUP(_xlpm.key,Halmet!A:A,Halmet!G:G,""),OR(_xlpm.oldHash="",_xlpm.oldHash&lt;&gt;_xlpm.newHash))</f>
        <v>1</v>
      </c>
    </row>
    <row r="93" spans="1:13" x14ac:dyDescent="0.45">
      <c r="A93" t="s">
        <v>59</v>
      </c>
      <c r="B93">
        <v>1</v>
      </c>
      <c r="C93" t="s">
        <v>60</v>
      </c>
      <c r="G93" t="s">
        <v>61</v>
      </c>
      <c r="H93" t="s">
        <v>62</v>
      </c>
      <c r="I93" t="s">
        <v>63</v>
      </c>
      <c r="J93" t="s">
        <v>20</v>
      </c>
      <c r="M93" t="b">
        <f>_xlfn.LET(_xlpm.key,A93,_xlpm.newHash,G93,_xlpm.oldHash,_xlfn.XLOOKUP(_xlpm.key,Halmet!A:A,Halmet!G:G,""),OR(_xlpm.oldHash="",_xlpm.oldHash&lt;&gt;_xlpm.newHash))</f>
        <v>0</v>
      </c>
    </row>
    <row r="94" spans="1:13" x14ac:dyDescent="0.45">
      <c r="A94" t="s">
        <v>54</v>
      </c>
      <c r="B94">
        <v>1</v>
      </c>
      <c r="C94" t="s">
        <v>55</v>
      </c>
      <c r="G94" t="s">
        <v>56</v>
      </c>
      <c r="H94" t="s">
        <v>57</v>
      </c>
      <c r="I94" t="s">
        <v>58</v>
      </c>
      <c r="M94" t="b">
        <f>_xlfn.LET(_xlpm.key,A94,_xlpm.newHash,G94,_xlpm.oldHash,_xlfn.XLOOKUP(_xlpm.key,Halmet!A:A,Halmet!G:G,""),OR(_xlpm.oldHash="",_xlpm.oldHash&lt;&gt;_xlpm.newHash))</f>
        <v>1</v>
      </c>
    </row>
    <row r="95" spans="1:13" x14ac:dyDescent="0.45">
      <c r="A95" t="s">
        <v>50</v>
      </c>
      <c r="B95">
        <v>1</v>
      </c>
      <c r="C95" t="s">
        <v>51</v>
      </c>
      <c r="G95" t="s">
        <v>17</v>
      </c>
      <c r="H95" t="s">
        <v>52</v>
      </c>
      <c r="I95" t="s">
        <v>53</v>
      </c>
      <c r="J95" t="s">
        <v>20</v>
      </c>
      <c r="M95" t="b">
        <f>_xlfn.LET(_xlpm.key,A95,_xlpm.newHash,G95,_xlpm.oldHash,_xlfn.XLOOKUP(_xlpm.key,Halmet!A:A,Halmet!G:G,""),OR(_xlpm.oldHash="",_xlpm.oldHash&lt;&gt;_xlpm.newHash))</f>
        <v>0</v>
      </c>
    </row>
    <row r="96" spans="1:13" x14ac:dyDescent="0.45">
      <c r="A96" t="s">
        <v>46</v>
      </c>
      <c r="B96">
        <v>1</v>
      </c>
      <c r="C96" t="s">
        <v>47</v>
      </c>
      <c r="G96" t="s">
        <v>17</v>
      </c>
      <c r="H96" t="s">
        <v>48</v>
      </c>
      <c r="I96" t="s">
        <v>49</v>
      </c>
      <c r="M96" t="b">
        <f>_xlfn.LET(_xlpm.key,A96,_xlpm.newHash,G96,_xlpm.oldHash,_xlfn.XLOOKUP(_xlpm.key,Halmet!A:A,Halmet!G:G,""),OR(_xlpm.oldHash="",_xlpm.oldHash&lt;&gt;_xlpm.newHash))</f>
        <v>1</v>
      </c>
    </row>
    <row r="97" spans="1:13" x14ac:dyDescent="0.45">
      <c r="A97" t="s">
        <v>41</v>
      </c>
      <c r="B97">
        <v>1</v>
      </c>
      <c r="C97" t="s">
        <v>42</v>
      </c>
      <c r="G97" t="s">
        <v>43</v>
      </c>
      <c r="H97" t="s">
        <v>44</v>
      </c>
      <c r="I97" t="s">
        <v>45</v>
      </c>
      <c r="J97" t="s">
        <v>20</v>
      </c>
      <c r="M97" t="b">
        <f>_xlfn.LET(_xlpm.key,A97,_xlpm.newHash,G97,_xlpm.oldHash,_xlfn.XLOOKUP(_xlpm.key,Halmet!A:A,Halmet!G:G,""),OR(_xlpm.oldHash="",_xlpm.oldHash&lt;&gt;_xlpm.newHash))</f>
        <v>0</v>
      </c>
    </row>
    <row r="98" spans="1:13" x14ac:dyDescent="0.45">
      <c r="A98" t="s">
        <v>36</v>
      </c>
      <c r="B98">
        <v>1</v>
      </c>
      <c r="C98" t="s">
        <v>37</v>
      </c>
      <c r="G98" t="s">
        <v>38</v>
      </c>
      <c r="H98" t="s">
        <v>39</v>
      </c>
      <c r="I98" t="s">
        <v>40</v>
      </c>
      <c r="J98" t="s">
        <v>20</v>
      </c>
      <c r="M98" t="b">
        <f>_xlfn.LET(_xlpm.key,A98,_xlpm.newHash,G98,_xlpm.oldHash,_xlfn.XLOOKUP(_xlpm.key,Halmet!A:A,Halmet!G:G,""),OR(_xlpm.oldHash="",_xlpm.oldHash&lt;&gt;_xlpm.newHash))</f>
        <v>0</v>
      </c>
    </row>
  </sheetData>
  <sortState xmlns:xlrd2="http://schemas.microsoft.com/office/spreadsheetml/2017/richdata2" ref="A2:J98">
    <sortCondition ref="A2:A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F6AC-3525-469C-8A1D-978DD012D085}">
  <dimension ref="A1:J84"/>
  <sheetViews>
    <sheetView workbookViewId="0">
      <selection activeCell="L1" sqref="L1:L1048576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304</v>
      </c>
      <c r="B2">
        <v>4</v>
      </c>
      <c r="C2" t="s">
        <v>305</v>
      </c>
      <c r="G2" t="s">
        <v>299</v>
      </c>
      <c r="H2" t="s">
        <v>82</v>
      </c>
      <c r="I2" t="s">
        <v>306</v>
      </c>
    </row>
    <row r="3" spans="1:10" x14ac:dyDescent="0.45">
      <c r="A3" t="s">
        <v>301</v>
      </c>
      <c r="B3">
        <v>4</v>
      </c>
      <c r="C3" t="s">
        <v>302</v>
      </c>
      <c r="G3" t="s">
        <v>86</v>
      </c>
      <c r="H3" t="s">
        <v>82</v>
      </c>
      <c r="I3" t="s">
        <v>303</v>
      </c>
    </row>
    <row r="4" spans="1:10" x14ac:dyDescent="0.45">
      <c r="A4" t="s">
        <v>297</v>
      </c>
      <c r="B4">
        <v>4</v>
      </c>
      <c r="C4" t="s">
        <v>298</v>
      </c>
      <c r="G4" t="s">
        <v>299</v>
      </c>
      <c r="H4" t="s">
        <v>82</v>
      </c>
      <c r="I4" t="s">
        <v>300</v>
      </c>
    </row>
    <row r="5" spans="1:10" x14ac:dyDescent="0.45">
      <c r="A5" t="s">
        <v>293</v>
      </c>
      <c r="B5">
        <v>1</v>
      </c>
      <c r="C5" t="s">
        <v>294</v>
      </c>
      <c r="G5" t="s">
        <v>295</v>
      </c>
      <c r="H5" t="s">
        <v>82</v>
      </c>
      <c r="I5" t="s">
        <v>296</v>
      </c>
    </row>
    <row r="6" spans="1:10" x14ac:dyDescent="0.45">
      <c r="A6" t="s">
        <v>289</v>
      </c>
      <c r="B6">
        <v>1</v>
      </c>
      <c r="C6" t="s">
        <v>290</v>
      </c>
      <c r="G6" t="s">
        <v>291</v>
      </c>
      <c r="H6" t="s">
        <v>82</v>
      </c>
      <c r="I6" t="s">
        <v>292</v>
      </c>
    </row>
    <row r="7" spans="1:10" x14ac:dyDescent="0.45">
      <c r="A7" t="s">
        <v>366</v>
      </c>
      <c r="B7">
        <v>1</v>
      </c>
      <c r="C7" t="s">
        <v>367</v>
      </c>
      <c r="G7" t="s">
        <v>295</v>
      </c>
      <c r="H7" t="s">
        <v>82</v>
      </c>
      <c r="I7" t="s">
        <v>368</v>
      </c>
    </row>
    <row r="8" spans="1:10" x14ac:dyDescent="0.45">
      <c r="A8" t="s">
        <v>363</v>
      </c>
      <c r="B8">
        <v>1</v>
      </c>
      <c r="C8" t="s">
        <v>364</v>
      </c>
      <c r="G8" t="s">
        <v>299</v>
      </c>
      <c r="H8" t="s">
        <v>82</v>
      </c>
      <c r="I8" t="s">
        <v>365</v>
      </c>
    </row>
    <row r="9" spans="1:10" x14ac:dyDescent="0.45">
      <c r="A9" t="s">
        <v>360</v>
      </c>
      <c r="B9">
        <v>1</v>
      </c>
      <c r="C9" t="s">
        <v>361</v>
      </c>
      <c r="G9" t="s">
        <v>312</v>
      </c>
      <c r="H9" t="s">
        <v>82</v>
      </c>
      <c r="I9" t="s">
        <v>362</v>
      </c>
    </row>
    <row r="10" spans="1:10" x14ac:dyDescent="0.45">
      <c r="A10" t="s">
        <v>357</v>
      </c>
      <c r="B10">
        <v>1</v>
      </c>
      <c r="C10" t="s">
        <v>358</v>
      </c>
      <c r="G10" t="s">
        <v>295</v>
      </c>
      <c r="H10" t="s">
        <v>82</v>
      </c>
      <c r="I10" t="s">
        <v>359</v>
      </c>
    </row>
    <row r="11" spans="1:10" x14ac:dyDescent="0.45">
      <c r="A11" t="s">
        <v>354</v>
      </c>
      <c r="B11">
        <v>2</v>
      </c>
      <c r="C11" t="s">
        <v>355</v>
      </c>
      <c r="E11" t="s">
        <v>211</v>
      </c>
      <c r="G11" t="s">
        <v>299</v>
      </c>
      <c r="H11" t="s">
        <v>82</v>
      </c>
      <c r="I11" t="s">
        <v>356</v>
      </c>
    </row>
    <row r="12" spans="1:10" x14ac:dyDescent="0.45">
      <c r="A12" t="s">
        <v>351</v>
      </c>
      <c r="B12">
        <v>2</v>
      </c>
      <c r="C12" t="s">
        <v>352</v>
      </c>
      <c r="G12" t="s">
        <v>295</v>
      </c>
      <c r="H12" t="s">
        <v>82</v>
      </c>
      <c r="I12" t="s">
        <v>353</v>
      </c>
    </row>
    <row r="13" spans="1:10" x14ac:dyDescent="0.45">
      <c r="A13" t="s">
        <v>347</v>
      </c>
      <c r="B13">
        <v>2</v>
      </c>
      <c r="C13" t="s">
        <v>348</v>
      </c>
      <c r="G13" t="s">
        <v>349</v>
      </c>
      <c r="H13" t="s">
        <v>82</v>
      </c>
      <c r="I13" t="s">
        <v>350</v>
      </c>
    </row>
    <row r="14" spans="1:10" x14ac:dyDescent="0.45">
      <c r="A14" t="s">
        <v>344</v>
      </c>
      <c r="B14">
        <v>6</v>
      </c>
      <c r="C14" t="s">
        <v>345</v>
      </c>
      <c r="G14" t="s">
        <v>295</v>
      </c>
      <c r="H14" t="s">
        <v>82</v>
      </c>
      <c r="I14" t="s">
        <v>346</v>
      </c>
    </row>
    <row r="15" spans="1:10" x14ac:dyDescent="0.45">
      <c r="A15" t="s">
        <v>369</v>
      </c>
      <c r="B15">
        <v>16</v>
      </c>
      <c r="C15" t="s">
        <v>342</v>
      </c>
      <c r="G15" t="s">
        <v>299</v>
      </c>
      <c r="H15" t="s">
        <v>82</v>
      </c>
      <c r="I15" t="s">
        <v>343</v>
      </c>
    </row>
    <row r="16" spans="1:10" x14ac:dyDescent="0.45">
      <c r="A16" t="s">
        <v>338</v>
      </c>
      <c r="B16">
        <v>6</v>
      </c>
      <c r="C16" t="s">
        <v>339</v>
      </c>
      <c r="G16" t="s">
        <v>299</v>
      </c>
      <c r="H16" t="s">
        <v>82</v>
      </c>
      <c r="I16" t="s">
        <v>340</v>
      </c>
    </row>
    <row r="17" spans="1:10" x14ac:dyDescent="0.45">
      <c r="A17" t="s">
        <v>335</v>
      </c>
      <c r="B17">
        <v>1</v>
      </c>
      <c r="C17" t="s">
        <v>336</v>
      </c>
      <c r="G17" t="s">
        <v>295</v>
      </c>
      <c r="H17" t="s">
        <v>82</v>
      </c>
      <c r="I17" t="s">
        <v>337</v>
      </c>
    </row>
    <row r="18" spans="1:10" x14ac:dyDescent="0.45">
      <c r="A18" t="s">
        <v>332</v>
      </c>
      <c r="B18">
        <v>4</v>
      </c>
      <c r="C18" t="s">
        <v>333</v>
      </c>
      <c r="G18" t="s">
        <v>299</v>
      </c>
      <c r="H18" t="s">
        <v>82</v>
      </c>
      <c r="I18" t="s">
        <v>334</v>
      </c>
    </row>
    <row r="19" spans="1:10" x14ac:dyDescent="0.45">
      <c r="A19" t="s">
        <v>329</v>
      </c>
      <c r="B19">
        <v>2</v>
      </c>
      <c r="C19" t="s">
        <v>330</v>
      </c>
      <c r="G19" t="s">
        <v>299</v>
      </c>
      <c r="H19" t="s">
        <v>82</v>
      </c>
      <c r="I19" t="s">
        <v>331</v>
      </c>
    </row>
    <row r="20" spans="1:10" x14ac:dyDescent="0.45">
      <c r="A20" t="s">
        <v>370</v>
      </c>
      <c r="B20">
        <v>9</v>
      </c>
      <c r="C20" t="s">
        <v>327</v>
      </c>
      <c r="G20" t="s">
        <v>312</v>
      </c>
      <c r="H20" t="s">
        <v>82</v>
      </c>
      <c r="I20" t="s">
        <v>328</v>
      </c>
    </row>
    <row r="21" spans="1:10" x14ac:dyDescent="0.45">
      <c r="A21" t="s">
        <v>323</v>
      </c>
      <c r="B21">
        <v>1</v>
      </c>
      <c r="C21" t="s">
        <v>324</v>
      </c>
      <c r="G21" t="s">
        <v>299</v>
      </c>
      <c r="H21" t="s">
        <v>82</v>
      </c>
      <c r="I21" t="s">
        <v>325</v>
      </c>
    </row>
    <row r="22" spans="1:10" x14ac:dyDescent="0.45">
      <c r="A22" t="s">
        <v>320</v>
      </c>
      <c r="B22">
        <v>1</v>
      </c>
      <c r="C22" t="s">
        <v>321</v>
      </c>
      <c r="G22" t="s">
        <v>312</v>
      </c>
      <c r="H22" t="s">
        <v>82</v>
      </c>
      <c r="I22" t="s">
        <v>322</v>
      </c>
    </row>
    <row r="23" spans="1:10" x14ac:dyDescent="0.45">
      <c r="A23" t="s">
        <v>307</v>
      </c>
      <c r="B23">
        <v>1</v>
      </c>
      <c r="C23" t="s">
        <v>308</v>
      </c>
      <c r="G23" t="s">
        <v>295</v>
      </c>
      <c r="H23" t="s">
        <v>82</v>
      </c>
      <c r="I23" t="s">
        <v>309</v>
      </c>
    </row>
    <row r="24" spans="1:10" x14ac:dyDescent="0.45">
      <c r="A24" t="s">
        <v>256</v>
      </c>
      <c r="B24">
        <v>2</v>
      </c>
      <c r="C24" t="s">
        <v>257</v>
      </c>
      <c r="G24" t="s">
        <v>258</v>
      </c>
      <c r="H24" t="s">
        <v>82</v>
      </c>
      <c r="I24" t="s">
        <v>259</v>
      </c>
    </row>
    <row r="25" spans="1:10" x14ac:dyDescent="0.45">
      <c r="A25" t="s">
        <v>253</v>
      </c>
      <c r="B25">
        <v>2</v>
      </c>
      <c r="C25" t="s">
        <v>254</v>
      </c>
      <c r="G25" t="s">
        <v>136</v>
      </c>
      <c r="I25" t="s">
        <v>255</v>
      </c>
      <c r="J25" t="s">
        <v>14</v>
      </c>
    </row>
    <row r="26" spans="1:10" x14ac:dyDescent="0.45">
      <c r="A26" t="s">
        <v>281</v>
      </c>
      <c r="B26">
        <v>3</v>
      </c>
      <c r="C26" t="s">
        <v>282</v>
      </c>
      <c r="G26" t="s">
        <v>283</v>
      </c>
      <c r="H26" t="s">
        <v>82</v>
      </c>
      <c r="I26" t="s">
        <v>284</v>
      </c>
    </row>
    <row r="27" spans="1:10" x14ac:dyDescent="0.45">
      <c r="A27" t="s">
        <v>277</v>
      </c>
      <c r="B27">
        <v>1</v>
      </c>
      <c r="C27" t="s">
        <v>278</v>
      </c>
      <c r="G27" t="s">
        <v>279</v>
      </c>
      <c r="H27" t="s">
        <v>82</v>
      </c>
      <c r="I27" t="s">
        <v>280</v>
      </c>
    </row>
    <row r="28" spans="1:10" x14ac:dyDescent="0.45">
      <c r="A28" t="s">
        <v>273</v>
      </c>
      <c r="B28">
        <v>8</v>
      </c>
      <c r="C28" t="s">
        <v>274</v>
      </c>
      <c r="G28" t="s">
        <v>275</v>
      </c>
      <c r="H28" t="s">
        <v>82</v>
      </c>
      <c r="I28" t="s">
        <v>276</v>
      </c>
    </row>
    <row r="29" spans="1:10" x14ac:dyDescent="0.45">
      <c r="A29" t="s">
        <v>270</v>
      </c>
      <c r="B29">
        <v>1</v>
      </c>
      <c r="C29" t="s">
        <v>271</v>
      </c>
      <c r="G29" t="s">
        <v>258</v>
      </c>
      <c r="H29" t="s">
        <v>82</v>
      </c>
      <c r="I29" t="s">
        <v>272</v>
      </c>
    </row>
    <row r="30" spans="1:10" x14ac:dyDescent="0.45">
      <c r="A30" t="s">
        <v>267</v>
      </c>
      <c r="B30">
        <v>1</v>
      </c>
      <c r="C30" t="s">
        <v>268</v>
      </c>
      <c r="G30" t="s">
        <v>258</v>
      </c>
      <c r="H30" t="s">
        <v>82</v>
      </c>
      <c r="I30" t="s">
        <v>269</v>
      </c>
    </row>
    <row r="31" spans="1:10" x14ac:dyDescent="0.45">
      <c r="A31" t="s">
        <v>263</v>
      </c>
      <c r="B31">
        <v>8</v>
      </c>
      <c r="C31" t="s">
        <v>264</v>
      </c>
      <c r="G31" t="s">
        <v>136</v>
      </c>
      <c r="H31" t="s">
        <v>265</v>
      </c>
      <c r="I31" t="s">
        <v>266</v>
      </c>
      <c r="J31" t="s">
        <v>14</v>
      </c>
    </row>
    <row r="32" spans="1:10" x14ac:dyDescent="0.45">
      <c r="A32" t="s">
        <v>260</v>
      </c>
      <c r="B32">
        <v>1</v>
      </c>
      <c r="C32" t="s">
        <v>261</v>
      </c>
      <c r="G32" t="s">
        <v>140</v>
      </c>
      <c r="H32" t="s">
        <v>82</v>
      </c>
      <c r="I32" t="s">
        <v>262</v>
      </c>
      <c r="J32" t="s">
        <v>14</v>
      </c>
    </row>
    <row r="33" spans="1:10" x14ac:dyDescent="0.45">
      <c r="A33" t="s">
        <v>249</v>
      </c>
      <c r="B33">
        <v>1</v>
      </c>
      <c r="C33" t="s">
        <v>250</v>
      </c>
      <c r="G33" t="s">
        <v>251</v>
      </c>
      <c r="H33" t="s">
        <v>82</v>
      </c>
      <c r="I33" t="s">
        <v>252</v>
      </c>
    </row>
    <row r="34" spans="1:10" x14ac:dyDescent="0.45">
      <c r="A34" t="s">
        <v>244</v>
      </c>
      <c r="B34">
        <v>1</v>
      </c>
      <c r="C34" t="s">
        <v>245</v>
      </c>
      <c r="G34" t="s">
        <v>246</v>
      </c>
      <c r="H34" t="s">
        <v>247</v>
      </c>
      <c r="I34" t="s">
        <v>248</v>
      </c>
    </row>
    <row r="35" spans="1:10" x14ac:dyDescent="0.45">
      <c r="A35" t="s">
        <v>237</v>
      </c>
      <c r="B35">
        <v>4</v>
      </c>
      <c r="C35" t="s">
        <v>238</v>
      </c>
      <c r="G35" t="s">
        <v>150</v>
      </c>
      <c r="H35" t="s">
        <v>82</v>
      </c>
      <c r="I35" t="s">
        <v>239</v>
      </c>
    </row>
    <row r="36" spans="1:10" x14ac:dyDescent="0.45">
      <c r="A36" t="s">
        <v>234</v>
      </c>
      <c r="B36">
        <v>6</v>
      </c>
      <c r="C36" t="s">
        <v>235</v>
      </c>
      <c r="G36" t="s">
        <v>150</v>
      </c>
      <c r="H36" t="s">
        <v>82</v>
      </c>
      <c r="I36" t="s">
        <v>236</v>
      </c>
    </row>
    <row r="37" spans="1:10" x14ac:dyDescent="0.45">
      <c r="A37" t="s">
        <v>231</v>
      </c>
      <c r="B37">
        <v>1</v>
      </c>
      <c r="C37" t="s">
        <v>232</v>
      </c>
      <c r="E37" t="s">
        <v>211</v>
      </c>
      <c r="G37" t="s">
        <v>233</v>
      </c>
      <c r="H37" t="s">
        <v>82</v>
      </c>
    </row>
    <row r="38" spans="1:10" x14ac:dyDescent="0.45">
      <c r="A38" t="s">
        <v>228</v>
      </c>
      <c r="B38">
        <v>1</v>
      </c>
      <c r="C38" t="s">
        <v>229</v>
      </c>
      <c r="E38" t="s">
        <v>211</v>
      </c>
      <c r="G38" t="s">
        <v>230</v>
      </c>
      <c r="H38" t="s">
        <v>82</v>
      </c>
    </row>
    <row r="39" spans="1:10" x14ac:dyDescent="0.45">
      <c r="A39" t="s">
        <v>225</v>
      </c>
      <c r="B39">
        <v>1</v>
      </c>
      <c r="C39" t="s">
        <v>226</v>
      </c>
      <c r="E39" t="s">
        <v>211</v>
      </c>
      <c r="F39" t="s">
        <v>223</v>
      </c>
      <c r="G39" t="s">
        <v>227</v>
      </c>
      <c r="H39" t="s">
        <v>82</v>
      </c>
    </row>
    <row r="40" spans="1:10" x14ac:dyDescent="0.45">
      <c r="A40" t="s">
        <v>221</v>
      </c>
      <c r="B40">
        <v>1</v>
      </c>
      <c r="C40" t="s">
        <v>222</v>
      </c>
      <c r="E40" t="s">
        <v>211</v>
      </c>
      <c r="F40" t="s">
        <v>223</v>
      </c>
      <c r="G40" t="s">
        <v>224</v>
      </c>
      <c r="H40" t="s">
        <v>82</v>
      </c>
    </row>
    <row r="41" spans="1:10" x14ac:dyDescent="0.45">
      <c r="A41" t="s">
        <v>371</v>
      </c>
      <c r="B41">
        <v>1</v>
      </c>
      <c r="C41" t="s">
        <v>372</v>
      </c>
      <c r="E41" t="s">
        <v>211</v>
      </c>
      <c r="G41" t="s">
        <v>373</v>
      </c>
      <c r="H41" t="s">
        <v>82</v>
      </c>
    </row>
    <row r="42" spans="1:10" x14ac:dyDescent="0.45">
      <c r="A42" t="s">
        <v>374</v>
      </c>
      <c r="B42">
        <v>1</v>
      </c>
      <c r="C42" t="s">
        <v>375</v>
      </c>
      <c r="E42" t="s">
        <v>211</v>
      </c>
      <c r="G42" t="s">
        <v>376</v>
      </c>
      <c r="H42" t="s">
        <v>82</v>
      </c>
    </row>
    <row r="43" spans="1:10" x14ac:dyDescent="0.45">
      <c r="A43" t="s">
        <v>218</v>
      </c>
      <c r="B43">
        <v>2</v>
      </c>
      <c r="C43" t="s">
        <v>219</v>
      </c>
      <c r="G43" t="s">
        <v>220</v>
      </c>
      <c r="H43" t="s">
        <v>82</v>
      </c>
    </row>
    <row r="44" spans="1:10" x14ac:dyDescent="0.45">
      <c r="A44" t="s">
        <v>213</v>
      </c>
      <c r="B44">
        <v>1</v>
      </c>
      <c r="C44" t="s">
        <v>214</v>
      </c>
      <c r="G44" t="s">
        <v>215</v>
      </c>
      <c r="H44" t="s">
        <v>82</v>
      </c>
      <c r="J44" t="s">
        <v>217</v>
      </c>
    </row>
    <row r="45" spans="1:10" x14ac:dyDescent="0.45">
      <c r="A45" t="s">
        <v>209</v>
      </c>
      <c r="B45">
        <v>1</v>
      </c>
      <c r="C45" t="s">
        <v>210</v>
      </c>
      <c r="E45" t="s">
        <v>211</v>
      </c>
      <c r="G45" t="s">
        <v>212</v>
      </c>
      <c r="H45" t="s">
        <v>82</v>
      </c>
    </row>
    <row r="46" spans="1:10" x14ac:dyDescent="0.45">
      <c r="A46" t="s">
        <v>207</v>
      </c>
      <c r="B46">
        <v>2</v>
      </c>
      <c r="C46" t="s">
        <v>187</v>
      </c>
      <c r="G46" t="s">
        <v>208</v>
      </c>
      <c r="H46" t="s">
        <v>82</v>
      </c>
    </row>
    <row r="47" spans="1:10" x14ac:dyDescent="0.45">
      <c r="A47" t="s">
        <v>202</v>
      </c>
      <c r="B47">
        <v>1</v>
      </c>
      <c r="C47" t="s">
        <v>203</v>
      </c>
      <c r="G47" t="s">
        <v>204</v>
      </c>
      <c r="H47" t="s">
        <v>82</v>
      </c>
      <c r="I47" t="s">
        <v>205</v>
      </c>
      <c r="J47" t="s">
        <v>206</v>
      </c>
    </row>
    <row r="48" spans="1:10" x14ac:dyDescent="0.45">
      <c r="A48" t="s">
        <v>191</v>
      </c>
      <c r="B48">
        <v>1</v>
      </c>
      <c r="C48" t="s">
        <v>192</v>
      </c>
      <c r="G48" t="s">
        <v>193</v>
      </c>
      <c r="H48" t="s">
        <v>82</v>
      </c>
      <c r="I48" t="s">
        <v>194</v>
      </c>
      <c r="J48" t="s">
        <v>195</v>
      </c>
    </row>
    <row r="49" spans="1:10" x14ac:dyDescent="0.45">
      <c r="A49" t="s">
        <v>186</v>
      </c>
      <c r="B49">
        <v>8</v>
      </c>
      <c r="C49" t="s">
        <v>187</v>
      </c>
      <c r="G49" t="s">
        <v>188</v>
      </c>
      <c r="H49" t="s">
        <v>82</v>
      </c>
      <c r="I49" t="s">
        <v>189</v>
      </c>
      <c r="J49" t="s">
        <v>190</v>
      </c>
    </row>
    <row r="50" spans="1:10" x14ac:dyDescent="0.45">
      <c r="A50" t="s">
        <v>182</v>
      </c>
      <c r="B50">
        <v>1</v>
      </c>
      <c r="C50" t="s">
        <v>173</v>
      </c>
      <c r="G50" t="s">
        <v>183</v>
      </c>
      <c r="H50" t="s">
        <v>82</v>
      </c>
      <c r="I50" t="s">
        <v>184</v>
      </c>
      <c r="J50" t="s">
        <v>185</v>
      </c>
    </row>
    <row r="51" spans="1:10" x14ac:dyDescent="0.45">
      <c r="A51" t="s">
        <v>177</v>
      </c>
      <c r="B51">
        <v>1</v>
      </c>
      <c r="C51" t="s">
        <v>178</v>
      </c>
      <c r="G51" t="s">
        <v>179</v>
      </c>
      <c r="H51" t="s">
        <v>82</v>
      </c>
      <c r="I51" t="s">
        <v>180</v>
      </c>
      <c r="J51" t="s">
        <v>181</v>
      </c>
    </row>
    <row r="52" spans="1:10" x14ac:dyDescent="0.45">
      <c r="A52" t="s">
        <v>172</v>
      </c>
      <c r="B52">
        <v>1</v>
      </c>
      <c r="C52" t="s">
        <v>173</v>
      </c>
      <c r="G52" t="s">
        <v>174</v>
      </c>
      <c r="H52" t="s">
        <v>82</v>
      </c>
      <c r="I52" t="s">
        <v>175</v>
      </c>
      <c r="J52" t="s">
        <v>176</v>
      </c>
    </row>
    <row r="53" spans="1:10" x14ac:dyDescent="0.45">
      <c r="A53" t="s">
        <v>166</v>
      </c>
      <c r="B53">
        <v>13</v>
      </c>
      <c r="C53" t="s">
        <v>167</v>
      </c>
      <c r="G53" t="s">
        <v>168</v>
      </c>
      <c r="H53" t="s">
        <v>82</v>
      </c>
    </row>
    <row r="54" spans="1:10" x14ac:dyDescent="0.45">
      <c r="A54" t="s">
        <v>163</v>
      </c>
      <c r="B54">
        <v>3</v>
      </c>
      <c r="C54" t="s">
        <v>164</v>
      </c>
      <c r="G54" t="s">
        <v>165</v>
      </c>
      <c r="H54" t="s">
        <v>82</v>
      </c>
    </row>
    <row r="55" spans="1:10" x14ac:dyDescent="0.45">
      <c r="A55" t="s">
        <v>160</v>
      </c>
      <c r="B55">
        <v>1</v>
      </c>
      <c r="C55" t="s">
        <v>161</v>
      </c>
      <c r="G55" t="s">
        <v>162</v>
      </c>
      <c r="H55" t="s">
        <v>82</v>
      </c>
    </row>
    <row r="56" spans="1:10" x14ac:dyDescent="0.45">
      <c r="A56" t="s">
        <v>148</v>
      </c>
      <c r="B56">
        <v>2</v>
      </c>
      <c r="C56" t="s">
        <v>149</v>
      </c>
      <c r="G56" t="s">
        <v>150</v>
      </c>
      <c r="H56" t="s">
        <v>82</v>
      </c>
      <c r="I56" t="s">
        <v>151</v>
      </c>
    </row>
    <row r="57" spans="1:10" x14ac:dyDescent="0.45">
      <c r="A57" t="s">
        <v>156</v>
      </c>
      <c r="B57">
        <v>1</v>
      </c>
      <c r="C57" t="s">
        <v>157</v>
      </c>
      <c r="G57" t="s">
        <v>158</v>
      </c>
      <c r="H57" t="s">
        <v>82</v>
      </c>
      <c r="I57" t="s">
        <v>159</v>
      </c>
    </row>
    <row r="58" spans="1:10" x14ac:dyDescent="0.45">
      <c r="A58" t="s">
        <v>152</v>
      </c>
      <c r="B58">
        <v>1</v>
      </c>
      <c r="C58" t="s">
        <v>153</v>
      </c>
      <c r="G58" t="s">
        <v>154</v>
      </c>
      <c r="H58" t="s">
        <v>82</v>
      </c>
      <c r="I58" t="s">
        <v>155</v>
      </c>
    </row>
    <row r="59" spans="1:10" x14ac:dyDescent="0.45">
      <c r="A59" t="s">
        <v>143</v>
      </c>
      <c r="B59">
        <v>1</v>
      </c>
      <c r="C59" t="s">
        <v>144</v>
      </c>
      <c r="G59" t="s">
        <v>145</v>
      </c>
      <c r="I59" t="s">
        <v>146</v>
      </c>
      <c r="J59" t="s">
        <v>147</v>
      </c>
    </row>
    <row r="60" spans="1:10" x14ac:dyDescent="0.45">
      <c r="A60" t="s">
        <v>138</v>
      </c>
      <c r="B60">
        <v>2</v>
      </c>
      <c r="C60" t="s">
        <v>139</v>
      </c>
      <c r="G60" t="s">
        <v>140</v>
      </c>
      <c r="H60" t="s">
        <v>141</v>
      </c>
      <c r="I60" t="s">
        <v>142</v>
      </c>
      <c r="J60" t="s">
        <v>14</v>
      </c>
    </row>
    <row r="61" spans="1:10" x14ac:dyDescent="0.45">
      <c r="A61" t="s">
        <v>134</v>
      </c>
      <c r="B61">
        <v>4</v>
      </c>
      <c r="C61" t="s">
        <v>135</v>
      </c>
      <c r="G61" t="s">
        <v>136</v>
      </c>
      <c r="H61" t="s">
        <v>82</v>
      </c>
      <c r="I61" t="s">
        <v>137</v>
      </c>
      <c r="J61" t="s">
        <v>14</v>
      </c>
    </row>
    <row r="62" spans="1:10" x14ac:dyDescent="0.45">
      <c r="A62" t="s">
        <v>91</v>
      </c>
      <c r="B62">
        <v>2</v>
      </c>
      <c r="C62" t="s">
        <v>92</v>
      </c>
      <c r="G62" t="s">
        <v>86</v>
      </c>
      <c r="H62" t="s">
        <v>82</v>
      </c>
      <c r="I62" t="s">
        <v>93</v>
      </c>
    </row>
    <row r="63" spans="1:10" x14ac:dyDescent="0.45">
      <c r="A63" t="s">
        <v>88</v>
      </c>
      <c r="B63">
        <v>4</v>
      </c>
      <c r="C63" t="s">
        <v>89</v>
      </c>
      <c r="G63" t="s">
        <v>86</v>
      </c>
      <c r="H63" t="s">
        <v>82</v>
      </c>
      <c r="I63" t="s">
        <v>90</v>
      </c>
    </row>
    <row r="64" spans="1:10" x14ac:dyDescent="0.45">
      <c r="A64" t="s">
        <v>84</v>
      </c>
      <c r="B64">
        <v>1</v>
      </c>
      <c r="C64" t="s">
        <v>85</v>
      </c>
      <c r="G64" t="s">
        <v>86</v>
      </c>
      <c r="H64" t="s">
        <v>82</v>
      </c>
      <c r="I64" t="s">
        <v>87</v>
      </c>
    </row>
    <row r="65" spans="1:10" x14ac:dyDescent="0.45">
      <c r="A65" t="s">
        <v>131</v>
      </c>
      <c r="B65">
        <v>7</v>
      </c>
      <c r="C65" t="s">
        <v>132</v>
      </c>
      <c r="G65" t="s">
        <v>86</v>
      </c>
      <c r="H65" t="s">
        <v>82</v>
      </c>
      <c r="I65" t="s">
        <v>133</v>
      </c>
    </row>
    <row r="66" spans="1:10" x14ac:dyDescent="0.45">
      <c r="A66" t="s">
        <v>116</v>
      </c>
      <c r="B66">
        <v>6</v>
      </c>
      <c r="C66" t="s">
        <v>117</v>
      </c>
      <c r="G66" t="s">
        <v>86</v>
      </c>
      <c r="H66" t="s">
        <v>82</v>
      </c>
      <c r="I66" t="s">
        <v>118</v>
      </c>
    </row>
    <row r="67" spans="1:10" x14ac:dyDescent="0.45">
      <c r="A67" t="s">
        <v>110</v>
      </c>
      <c r="B67">
        <v>2</v>
      </c>
      <c r="C67" t="s">
        <v>111</v>
      </c>
      <c r="G67" t="s">
        <v>96</v>
      </c>
      <c r="H67" t="s">
        <v>82</v>
      </c>
      <c r="I67" t="s">
        <v>112</v>
      </c>
    </row>
    <row r="68" spans="1:10" x14ac:dyDescent="0.45">
      <c r="A68" t="s">
        <v>377</v>
      </c>
      <c r="B68">
        <v>5</v>
      </c>
      <c r="C68" t="s">
        <v>127</v>
      </c>
      <c r="G68" t="s">
        <v>86</v>
      </c>
      <c r="H68" t="s">
        <v>82</v>
      </c>
      <c r="I68" t="s">
        <v>128</v>
      </c>
    </row>
    <row r="69" spans="1:10" x14ac:dyDescent="0.45">
      <c r="A69" t="s">
        <v>108</v>
      </c>
      <c r="B69">
        <v>4</v>
      </c>
      <c r="C69">
        <v>30</v>
      </c>
      <c r="G69" t="s">
        <v>100</v>
      </c>
      <c r="H69" t="s">
        <v>82</v>
      </c>
      <c r="I69" t="s">
        <v>109</v>
      </c>
    </row>
    <row r="70" spans="1:10" x14ac:dyDescent="0.45">
      <c r="A70" t="s">
        <v>105</v>
      </c>
      <c r="B70">
        <v>8</v>
      </c>
      <c r="C70" t="s">
        <v>106</v>
      </c>
      <c r="G70" t="s">
        <v>100</v>
      </c>
      <c r="H70" t="s">
        <v>82</v>
      </c>
      <c r="I70" t="s">
        <v>107</v>
      </c>
    </row>
    <row r="71" spans="1:10" x14ac:dyDescent="0.45">
      <c r="A71" t="s">
        <v>102</v>
      </c>
      <c r="B71">
        <v>5</v>
      </c>
      <c r="C71" t="s">
        <v>103</v>
      </c>
      <c r="G71" t="s">
        <v>86</v>
      </c>
      <c r="H71" t="s">
        <v>82</v>
      </c>
      <c r="I71" t="s">
        <v>104</v>
      </c>
    </row>
    <row r="72" spans="1:10" x14ac:dyDescent="0.45">
      <c r="A72" t="s">
        <v>98</v>
      </c>
      <c r="B72">
        <v>1</v>
      </c>
      <c r="C72" t="s">
        <v>99</v>
      </c>
      <c r="G72" t="s">
        <v>100</v>
      </c>
      <c r="H72" t="s">
        <v>82</v>
      </c>
      <c r="I72" t="s">
        <v>101</v>
      </c>
    </row>
    <row r="73" spans="1:10" x14ac:dyDescent="0.45">
      <c r="A73" t="s">
        <v>94</v>
      </c>
      <c r="B73">
        <v>1</v>
      </c>
      <c r="C73" t="s">
        <v>95</v>
      </c>
      <c r="G73" t="s">
        <v>96</v>
      </c>
      <c r="H73" t="s">
        <v>82</v>
      </c>
      <c r="I73" t="s">
        <v>97</v>
      </c>
    </row>
    <row r="74" spans="1:10" x14ac:dyDescent="0.45">
      <c r="A74" t="s">
        <v>79</v>
      </c>
      <c r="B74">
        <v>2</v>
      </c>
      <c r="C74" t="s">
        <v>80</v>
      </c>
      <c r="G74" t="s">
        <v>81</v>
      </c>
      <c r="H74" t="s">
        <v>82</v>
      </c>
      <c r="I74" t="s">
        <v>83</v>
      </c>
    </row>
    <row r="75" spans="1:10" x14ac:dyDescent="0.45">
      <c r="A75" t="s">
        <v>31</v>
      </c>
      <c r="B75">
        <v>4</v>
      </c>
      <c r="C75" t="s">
        <v>32</v>
      </c>
      <c r="G75" t="s">
        <v>33</v>
      </c>
      <c r="H75" t="s">
        <v>34</v>
      </c>
      <c r="I75" t="s">
        <v>35</v>
      </c>
      <c r="J75" t="s">
        <v>20</v>
      </c>
    </row>
    <row r="76" spans="1:10" x14ac:dyDescent="0.45">
      <c r="A76" t="s">
        <v>21</v>
      </c>
      <c r="B76">
        <v>1</v>
      </c>
      <c r="C76" t="s">
        <v>22</v>
      </c>
      <c r="G76" t="s">
        <v>23</v>
      </c>
      <c r="H76" t="s">
        <v>24</v>
      </c>
      <c r="I76" t="s">
        <v>25</v>
      </c>
      <c r="J76" t="s">
        <v>20</v>
      </c>
    </row>
    <row r="77" spans="1:10" x14ac:dyDescent="0.45">
      <c r="A77" t="s">
        <v>15</v>
      </c>
      <c r="B77">
        <v>1</v>
      </c>
      <c r="C77" t="s">
        <v>16</v>
      </c>
      <c r="G77" t="s">
        <v>17</v>
      </c>
      <c r="H77" t="s">
        <v>18</v>
      </c>
      <c r="I77" t="s">
        <v>19</v>
      </c>
      <c r="J77" t="s">
        <v>20</v>
      </c>
    </row>
    <row r="78" spans="1:10" x14ac:dyDescent="0.45">
      <c r="A78" t="s">
        <v>10</v>
      </c>
      <c r="B78">
        <v>1</v>
      </c>
      <c r="C78" t="s">
        <v>11</v>
      </c>
      <c r="G78" t="s">
        <v>12</v>
      </c>
      <c r="I78" t="s">
        <v>13</v>
      </c>
      <c r="J78" t="s">
        <v>14</v>
      </c>
    </row>
    <row r="79" spans="1:10" x14ac:dyDescent="0.45">
      <c r="A79" t="s">
        <v>73</v>
      </c>
      <c r="B79">
        <v>1</v>
      </c>
      <c r="C79" t="s">
        <v>378</v>
      </c>
      <c r="G79" t="s">
        <v>379</v>
      </c>
      <c r="H79" t="s">
        <v>380</v>
      </c>
      <c r="I79" t="s">
        <v>381</v>
      </c>
      <c r="J79" t="s">
        <v>78</v>
      </c>
    </row>
    <row r="80" spans="1:10" x14ac:dyDescent="0.45">
      <c r="A80" t="s">
        <v>69</v>
      </c>
      <c r="B80">
        <v>1</v>
      </c>
      <c r="C80" t="s">
        <v>70</v>
      </c>
      <c r="G80" t="s">
        <v>71</v>
      </c>
      <c r="I80" t="s">
        <v>72</v>
      </c>
      <c r="J80" t="s">
        <v>20</v>
      </c>
    </row>
    <row r="81" spans="1:10" x14ac:dyDescent="0.45">
      <c r="A81" t="s">
        <v>59</v>
      </c>
      <c r="B81">
        <v>1</v>
      </c>
      <c r="C81" t="s">
        <v>60</v>
      </c>
      <c r="G81" t="s">
        <v>61</v>
      </c>
      <c r="H81" t="s">
        <v>62</v>
      </c>
      <c r="I81" t="s">
        <v>63</v>
      </c>
      <c r="J81" t="s">
        <v>20</v>
      </c>
    </row>
    <row r="82" spans="1:10" x14ac:dyDescent="0.45">
      <c r="A82" t="s">
        <v>50</v>
      </c>
      <c r="B82">
        <v>1</v>
      </c>
      <c r="C82" t="s">
        <v>51</v>
      </c>
      <c r="G82" t="s">
        <v>17</v>
      </c>
      <c r="H82" t="s">
        <v>52</v>
      </c>
      <c r="I82" t="s">
        <v>53</v>
      </c>
      <c r="J82" t="s">
        <v>20</v>
      </c>
    </row>
    <row r="83" spans="1:10" x14ac:dyDescent="0.45">
      <c r="A83" t="s">
        <v>41</v>
      </c>
      <c r="B83">
        <v>1</v>
      </c>
      <c r="C83" t="s">
        <v>42</v>
      </c>
      <c r="G83" t="s">
        <v>43</v>
      </c>
      <c r="H83" t="s">
        <v>44</v>
      </c>
      <c r="I83" t="s">
        <v>45</v>
      </c>
      <c r="J83" t="s">
        <v>20</v>
      </c>
    </row>
    <row r="84" spans="1:10" x14ac:dyDescent="0.45">
      <c r="A84" t="s">
        <v>36</v>
      </c>
      <c r="B84">
        <v>1</v>
      </c>
      <c r="C84" t="s">
        <v>37</v>
      </c>
      <c r="G84" t="s">
        <v>38</v>
      </c>
      <c r="H84" t="s">
        <v>39</v>
      </c>
      <c r="I84" t="s">
        <v>40</v>
      </c>
      <c r="J84" t="s">
        <v>20</v>
      </c>
    </row>
  </sheetData>
  <sortState xmlns:xlrd2="http://schemas.microsoft.com/office/spreadsheetml/2017/richdata2" ref="A2:J84">
    <sortCondition ref="A2:A8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3552-CEFB-4D01-8923-E750799C88BE}">
  <dimension ref="A1:M21"/>
  <sheetViews>
    <sheetView workbookViewId="0">
      <selection activeCell="E25" sqref="E25"/>
    </sheetView>
  </sheetViews>
  <sheetFormatPr defaultRowHeight="14.25" x14ac:dyDescent="0.45"/>
  <cols>
    <col min="1" max="1" width="10.86328125" customWidth="1"/>
    <col min="3" max="3" width="13.46484375" customWidth="1"/>
    <col min="7" max="7" width="42.73046875" customWidth="1"/>
    <col min="9" max="9" width="14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387</v>
      </c>
    </row>
    <row r="2" spans="1:13" x14ac:dyDescent="0.45">
      <c r="A2" t="str" cm="1">
        <f t="array" ref="A2:J21">_xlfn._xlws.FILTER(Bluefin!A2:J100,Bluefin!M2:M100=TRUE)</f>
        <v>C602,C606,C607,C608,C609,C610,C616,C624,C901,C1113,C1114,C1115,C1116,C1204,C1205,C1206,C1207</v>
      </c>
      <c r="B2">
        <v>17</v>
      </c>
      <c r="C2" t="str">
        <v>100nF</v>
      </c>
      <c r="D2">
        <v>0</v>
      </c>
      <c r="E2">
        <v>0</v>
      </c>
      <c r="F2">
        <v>0</v>
      </c>
      <c r="G2" t="str">
        <v>Capacitor_SMD:C_0402_1005Metric</v>
      </c>
      <c r="H2" t="str">
        <v>~</v>
      </c>
      <c r="I2" t="str">
        <v>C1525</v>
      </c>
      <c r="J2">
        <v>0</v>
      </c>
    </row>
    <row r="3" spans="1:13" x14ac:dyDescent="0.45">
      <c r="A3" t="str">
        <v>C704,C707,C708,C709,C710,C711,C712,C714,C721,C803</v>
      </c>
      <c r="B3">
        <v>10</v>
      </c>
      <c r="C3" t="str">
        <v>10uF/50V</v>
      </c>
      <c r="D3">
        <v>0</v>
      </c>
      <c r="E3">
        <v>0</v>
      </c>
      <c r="F3">
        <v>0</v>
      </c>
      <c r="G3" t="str">
        <v>Capacitor_SMD:C_1206_3216Metric</v>
      </c>
      <c r="H3" t="str">
        <v>~</v>
      </c>
      <c r="I3" t="str">
        <v>C13585</v>
      </c>
      <c r="J3">
        <v>0</v>
      </c>
    </row>
    <row r="4" spans="1:13" x14ac:dyDescent="0.45">
      <c r="A4" t="str">
        <v>C717,C720</v>
      </c>
      <c r="B4">
        <v>2</v>
      </c>
      <c r="C4" t="str">
        <v>0.1uF/50V</v>
      </c>
      <c r="D4">
        <v>0</v>
      </c>
      <c r="E4">
        <v>0</v>
      </c>
      <c r="F4">
        <v>0</v>
      </c>
      <c r="G4" t="str">
        <v>Capacitor_SMD:C_1206_3216Metric</v>
      </c>
      <c r="H4" t="str">
        <v>~</v>
      </c>
      <c r="I4" t="str">
        <v>C24497</v>
      </c>
      <c r="J4">
        <v>0</v>
      </c>
    </row>
    <row r="5" spans="1:13" x14ac:dyDescent="0.45">
      <c r="A5" t="str">
        <v>C718</v>
      </c>
      <c r="B5">
        <v>1</v>
      </c>
      <c r="C5" t="str">
        <v>2.2uF/50V</v>
      </c>
      <c r="D5">
        <v>0</v>
      </c>
      <c r="E5">
        <v>0</v>
      </c>
      <c r="F5">
        <v>0</v>
      </c>
      <c r="G5" t="str">
        <v>Capacitor_SMD:C_1206_3216Metric</v>
      </c>
      <c r="H5" t="str">
        <v>~</v>
      </c>
      <c r="I5" t="str">
        <v>C50254</v>
      </c>
      <c r="J5">
        <v>0</v>
      </c>
    </row>
    <row r="6" spans="1:13" x14ac:dyDescent="0.45">
      <c r="A6" t="str">
        <v>C719</v>
      </c>
      <c r="B6">
        <v>1</v>
      </c>
      <c r="C6" t="str">
        <v>10nF/50V</v>
      </c>
      <c r="D6">
        <v>0</v>
      </c>
      <c r="E6">
        <v>0</v>
      </c>
      <c r="F6">
        <v>0</v>
      </c>
      <c r="G6" t="str">
        <v>Capacitor_SMD:C_1206_3216Metric</v>
      </c>
      <c r="H6" t="str">
        <v>~</v>
      </c>
      <c r="I6" t="str">
        <v>C153292</v>
      </c>
      <c r="J6">
        <v>0</v>
      </c>
    </row>
    <row r="7" spans="1:13" x14ac:dyDescent="0.45">
      <c r="A7" t="str">
        <v>CR501</v>
      </c>
      <c r="B7">
        <v>1</v>
      </c>
      <c r="C7" t="str">
        <v>PSM712-LF-T7</v>
      </c>
      <c r="D7">
        <v>0</v>
      </c>
      <c r="E7">
        <v>0</v>
      </c>
      <c r="F7">
        <v>0</v>
      </c>
      <c r="G7" t="str">
        <v>PSM712-LF-T7:CR_SOT-23_PTD</v>
      </c>
      <c r="H7" t="str">
        <v>PSM712-LF-T7</v>
      </c>
      <c r="I7" t="str">
        <v>C32677</v>
      </c>
      <c r="J7">
        <v>0</v>
      </c>
    </row>
    <row r="8" spans="1:13" x14ac:dyDescent="0.45">
      <c r="A8" t="str">
        <v>F501,F502</v>
      </c>
      <c r="B8">
        <v>2</v>
      </c>
      <c r="C8" t="str">
        <v>1206L010/60WR</v>
      </c>
      <c r="D8">
        <v>0</v>
      </c>
      <c r="E8">
        <v>0</v>
      </c>
      <c r="F8">
        <v>0</v>
      </c>
      <c r="G8" t="str">
        <v>1206L010_60WR:1206L075132WR</v>
      </c>
      <c r="H8" t="str">
        <v>~</v>
      </c>
      <c r="I8" t="str">
        <v>C2153714</v>
      </c>
      <c r="J8">
        <v>0</v>
      </c>
    </row>
    <row r="9" spans="1:13" x14ac:dyDescent="0.45">
      <c r="A9" t="str">
        <v>J402</v>
      </c>
      <c r="B9">
        <v>1</v>
      </c>
      <c r="C9" t="str">
        <v>Conn_01x04</v>
      </c>
      <c r="D9">
        <v>0</v>
      </c>
      <c r="E9">
        <v>0</v>
      </c>
      <c r="F9">
        <v>0</v>
      </c>
      <c r="G9" t="str">
        <v>Connector_JST:JST_SH_BM04B-SRSS-TB_1x04-1MP_P1.00mm_Vertical</v>
      </c>
      <c r="H9" t="str">
        <v>~</v>
      </c>
      <c r="I9" t="str">
        <v>C160390</v>
      </c>
      <c r="J9">
        <v>0</v>
      </c>
    </row>
    <row r="10" spans="1:13" x14ac:dyDescent="0.45">
      <c r="A10" t="str">
        <v>J501</v>
      </c>
      <c r="B10">
        <v>1</v>
      </c>
      <c r="C10" t="str">
        <v>EXT LEDS</v>
      </c>
      <c r="D10">
        <v>0</v>
      </c>
      <c r="E10">
        <v>0</v>
      </c>
      <c r="F10">
        <v>0</v>
      </c>
      <c r="G10" t="str">
        <v>Connector_PinHeader_2.00mm:PinHeader_1x03_P2.00mm_Vertical</v>
      </c>
      <c r="H10" t="str">
        <v>~</v>
      </c>
      <c r="I10" t="str">
        <v>C541857</v>
      </c>
      <c r="J10">
        <v>0</v>
      </c>
    </row>
    <row r="11" spans="1:13" x14ac:dyDescent="0.45">
      <c r="A11" t="str">
        <v>JP1</v>
      </c>
      <c r="B11">
        <v>1</v>
      </c>
      <c r="C11" t="str">
        <v>Jumper_2_Small_Open</v>
      </c>
      <c r="D11">
        <v>0</v>
      </c>
      <c r="E11">
        <v>0</v>
      </c>
      <c r="F11">
        <v>0</v>
      </c>
      <c r="G11" t="str">
        <v>Connector_PinHeader_2.00mm:PinHeader_1x02_P2.00mm_Vertical</v>
      </c>
      <c r="H11" t="str">
        <v>~</v>
      </c>
      <c r="I11" t="str">
        <v>C541856</v>
      </c>
      <c r="J11">
        <v>0</v>
      </c>
    </row>
    <row r="12" spans="1:13" x14ac:dyDescent="0.45">
      <c r="A12" t="str">
        <v>R204,R505</v>
      </c>
      <c r="B12">
        <v>2</v>
      </c>
      <c r="C12" t="str">
        <v>240R</v>
      </c>
      <c r="D12">
        <v>0</v>
      </c>
      <c r="E12">
        <v>0</v>
      </c>
      <c r="F12">
        <v>0</v>
      </c>
      <c r="G12" t="str">
        <v>Resistor_SMD:R_0402_1005Metric</v>
      </c>
      <c r="H12" t="str">
        <v>~</v>
      </c>
      <c r="I12" t="str">
        <v>C25094</v>
      </c>
      <c r="J12">
        <v>0</v>
      </c>
    </row>
    <row r="13" spans="1:13" x14ac:dyDescent="0.45">
      <c r="A13" t="str">
        <v>R205,R603,R604,R605,R606,R611</v>
      </c>
      <c r="B13">
        <v>6</v>
      </c>
      <c r="C13" t="str">
        <v>1k</v>
      </c>
      <c r="D13">
        <v>0</v>
      </c>
      <c r="E13">
        <v>0</v>
      </c>
      <c r="F13">
        <v>0</v>
      </c>
      <c r="G13" t="str">
        <v>Resistor_SMD:R_0402_1005Metric</v>
      </c>
      <c r="H13" t="str">
        <v>~</v>
      </c>
      <c r="I13" t="str">
        <v>C11702</v>
      </c>
      <c r="J13">
        <v>0</v>
      </c>
    </row>
    <row r="14" spans="1:13" x14ac:dyDescent="0.45">
      <c r="A14" t="str">
        <v>R206</v>
      </c>
      <c r="B14">
        <v>1</v>
      </c>
      <c r="C14" t="str">
        <v>2.7k</v>
      </c>
      <c r="D14">
        <v>0</v>
      </c>
      <c r="E14">
        <v>0</v>
      </c>
      <c r="F14">
        <v>0</v>
      </c>
      <c r="G14" t="str">
        <v>Resistor_SMD:R_0402_1005Metric</v>
      </c>
      <c r="H14" t="str">
        <v>~</v>
      </c>
      <c r="I14" t="str">
        <v>C25885</v>
      </c>
      <c r="J14">
        <v>0</v>
      </c>
    </row>
    <row r="15" spans="1:13" x14ac:dyDescent="0.45">
      <c r="A15" t="str">
        <v>R403,R404</v>
      </c>
      <c r="B15">
        <v>2</v>
      </c>
      <c r="C15" t="str">
        <v>27R</v>
      </c>
      <c r="D15">
        <v>0</v>
      </c>
      <c r="E15">
        <v>0</v>
      </c>
      <c r="F15">
        <v>0</v>
      </c>
      <c r="G15" t="str">
        <v>Resistor_SMD:R_0201_0603Metric</v>
      </c>
      <c r="H15" t="str">
        <v>~</v>
      </c>
      <c r="I15" t="str">
        <v>C270320</v>
      </c>
      <c r="J15">
        <v>0</v>
      </c>
      <c r="M15" t="s">
        <v>386</v>
      </c>
    </row>
    <row r="16" spans="1:13" x14ac:dyDescent="0.45">
      <c r="A16" t="str">
        <v>R504</v>
      </c>
      <c r="B16">
        <v>1</v>
      </c>
      <c r="C16" t="str">
        <v>75R</v>
      </c>
      <c r="D16">
        <v>0</v>
      </c>
      <c r="E16">
        <v>0</v>
      </c>
      <c r="F16">
        <v>0</v>
      </c>
      <c r="G16" t="str">
        <v>Resistor_SMD:R_0402_1005Metric</v>
      </c>
      <c r="H16" t="str">
        <v>~</v>
      </c>
      <c r="I16" t="str">
        <v>C25133</v>
      </c>
      <c r="J16">
        <v>0</v>
      </c>
    </row>
    <row r="17" spans="1:13" x14ac:dyDescent="0.45">
      <c r="A17" t="str">
        <v>U1200</v>
      </c>
      <c r="B17">
        <v>1</v>
      </c>
      <c r="C17" t="str">
        <v>ICM-42688-P</v>
      </c>
      <c r="D17">
        <v>0</v>
      </c>
      <c r="E17">
        <v>0</v>
      </c>
      <c r="F17">
        <v>0</v>
      </c>
      <c r="G17" t="str">
        <v>BLUEFIN:PQFN50P300X250X97-14N</v>
      </c>
      <c r="H17" t="str">
        <v>https://jlcpcb.com/api/file/downloadByFileSystemAccessId/8588902275431469056</v>
      </c>
      <c r="I17" t="str">
        <v>C1850418</v>
      </c>
      <c r="J17">
        <v>0</v>
      </c>
    </row>
    <row r="18" spans="1:13" x14ac:dyDescent="0.45">
      <c r="A18" t="str">
        <v>U201</v>
      </c>
      <c r="B18">
        <v>1</v>
      </c>
      <c r="C18" t="str">
        <v>ESP32-S3-WROOM-1U-N16R8</v>
      </c>
      <c r="D18">
        <v>0</v>
      </c>
      <c r="E18">
        <v>0</v>
      </c>
      <c r="F18">
        <v>0</v>
      </c>
      <c r="G18" t="str">
        <v>RF_Module:ESP32-S3-WROOM-1U</v>
      </c>
      <c r="H18" t="str">
        <v>https://www.espressif.com/sites/default/files/documentation/esp32-s3-wroom-1_wroom-1u_datasheet_en.pdf</v>
      </c>
      <c r="I18" t="str">
        <v>C3013946</v>
      </c>
      <c r="J18" t="str">
        <v>0;0.75;270</v>
      </c>
      <c r="M18" t="s">
        <v>385</v>
      </c>
    </row>
    <row r="19" spans="1:13" x14ac:dyDescent="0.45">
      <c r="A19" t="str">
        <v>U203</v>
      </c>
      <c r="B19">
        <v>1</v>
      </c>
      <c r="C19" t="str">
        <v>LM317L_SOT-89</v>
      </c>
      <c r="D19">
        <v>0</v>
      </c>
      <c r="E19">
        <v>0</v>
      </c>
      <c r="F19">
        <v>0</v>
      </c>
      <c r="G19" t="str">
        <v>Package_TO_SOT_SMD:SOT-89-3</v>
      </c>
      <c r="H19" t="str">
        <v>http://www.ti.com/lit/ds/symlink/lm317l.pdf</v>
      </c>
      <c r="I19" t="str">
        <v>C5444280</v>
      </c>
      <c r="J19">
        <v>0</v>
      </c>
    </row>
    <row r="20" spans="1:13" x14ac:dyDescent="0.45">
      <c r="A20" t="str">
        <v>U402</v>
      </c>
      <c r="B20">
        <v>1</v>
      </c>
      <c r="C20" t="str">
        <v>USBLC6-2SC6</v>
      </c>
      <c r="D20">
        <v>0</v>
      </c>
      <c r="E20">
        <v>0</v>
      </c>
      <c r="F20">
        <v>0</v>
      </c>
      <c r="G20" t="str">
        <v>Package_TO_SOT_SMD:SOT-23-6</v>
      </c>
      <c r="H20" t="str">
        <v>https://www.st.com/resource/en/datasheet/usblc6-2.pdf</v>
      </c>
      <c r="I20" t="str">
        <v>C7519</v>
      </c>
      <c r="J20">
        <v>0</v>
      </c>
    </row>
    <row r="21" spans="1:13" x14ac:dyDescent="0.45">
      <c r="A21" t="str">
        <v>U502</v>
      </c>
      <c r="B21">
        <v>1</v>
      </c>
      <c r="C21" t="str">
        <v>SP3485EN</v>
      </c>
      <c r="D21">
        <v>0</v>
      </c>
      <c r="E21">
        <v>0</v>
      </c>
      <c r="F21">
        <v>0</v>
      </c>
      <c r="G21" t="str">
        <v>Package_SO:SOIC-8_3.9x4.9mm_P1.27mm</v>
      </c>
      <c r="H21" t="str">
        <v>http://www.icbase.com/pdf/SPX/SPX00480106.pdf</v>
      </c>
      <c r="I21" t="str">
        <v>C8963</v>
      </c>
      <c r="J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Bluefin</vt:lpstr>
      <vt:lpstr>Halmet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Hayles</cp:lastModifiedBy>
  <dcterms:created xsi:type="dcterms:W3CDTF">2026-01-08T14:06:52Z</dcterms:created>
  <dcterms:modified xsi:type="dcterms:W3CDTF">2026-01-08T14:06:52Z</dcterms:modified>
</cp:coreProperties>
</file>